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ros ordenadores\Mi PC\SANTI\Dubai\"/>
    </mc:Choice>
  </mc:AlternateContent>
  <xr:revisionPtr revIDLastSave="0" documentId="13_ncr:1_{B892EA2C-FE08-4D36-9912-02818C149141}" xr6:coauthVersionLast="47" xr6:coauthVersionMax="47" xr10:uidLastSave="{00000000-0000-0000-0000-000000000000}"/>
  <bookViews>
    <workbookView xWindow="-110" yWindow="-110" windowWidth="19420" windowHeight="11500" tabRatio="638" activeTab="8" xr2:uid="{00000000-000D-0000-FFFF-FFFF00000000}"/>
  </bookViews>
  <sheets>
    <sheet name="Resumen" sheetId="4" r:id="rId1"/>
    <sheet name="Ahorros" sheetId="5" r:id="rId2"/>
    <sheet name="Enero" sheetId="6" r:id="rId3"/>
    <sheet name="Febrero" sheetId="7" r:id="rId4"/>
    <sheet name="Marzo" sheetId="8" r:id="rId5"/>
    <sheet name="Abril" sheetId="9" r:id="rId6"/>
    <sheet name="Mayo" sheetId="10" r:id="rId7"/>
    <sheet name="Junio" sheetId="11" r:id="rId8"/>
    <sheet name="Julio" sheetId="12" r:id="rId9"/>
    <sheet name="Agosto" sheetId="13" r:id="rId10"/>
    <sheet name="Septiembre" sheetId="14" r:id="rId11"/>
    <sheet name="Octubre" sheetId="15" r:id="rId12"/>
    <sheet name="Noviembre" sheetId="16" r:id="rId13"/>
    <sheet name="Diciembre" sheetId="17" r:id="rId14"/>
    <sheet name="_Categorías" sheetId="18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12" l="1"/>
  <c r="I105" i="12"/>
  <c r="H105" i="12"/>
  <c r="H101" i="11"/>
  <c r="D101" i="11"/>
  <c r="C26" i="11"/>
  <c r="C101" i="11"/>
  <c r="W101" i="11"/>
  <c r="S101" i="11"/>
  <c r="R101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C31" i="11"/>
  <c r="C30" i="11"/>
  <c r="C29" i="11"/>
  <c r="C28" i="11"/>
  <c r="C27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X101" i="11"/>
  <c r="N101" i="11"/>
  <c r="M101" i="11"/>
  <c r="I101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G8" i="11"/>
  <c r="F5" i="11"/>
  <c r="F4" i="11"/>
  <c r="F3" i="11"/>
  <c r="G2" i="11"/>
  <c r="G6" i="11" s="1"/>
  <c r="D5" i="17"/>
  <c r="C5" i="17" s="1"/>
  <c r="D4" i="17"/>
  <c r="C4" i="17" s="1"/>
  <c r="C6" i="17" s="1"/>
  <c r="C3" i="17"/>
  <c r="D3" i="17" s="1"/>
  <c r="D5" i="16"/>
  <c r="C5" i="16" s="1"/>
  <c r="D4" i="16"/>
  <c r="C4" i="16" s="1"/>
  <c r="C3" i="16"/>
  <c r="C6" i="16" s="1"/>
  <c r="D5" i="15"/>
  <c r="C5" i="15" s="1"/>
  <c r="D4" i="15"/>
  <c r="C4" i="15" s="1"/>
  <c r="C3" i="15"/>
  <c r="D3" i="15" s="1"/>
  <c r="D5" i="14"/>
  <c r="C5" i="14" s="1"/>
  <c r="D4" i="14"/>
  <c r="C4" i="14" s="1"/>
  <c r="C3" i="14"/>
  <c r="D3" i="14" s="1"/>
  <c r="D5" i="13"/>
  <c r="C5" i="13" s="1"/>
  <c r="D4" i="13"/>
  <c r="C4" i="13" s="1"/>
  <c r="C3" i="13"/>
  <c r="D3" i="13" s="1"/>
  <c r="C5" i="12"/>
  <c r="C4" i="12"/>
  <c r="C3" i="12"/>
  <c r="D5" i="10"/>
  <c r="C5" i="10" s="1"/>
  <c r="D4" i="10"/>
  <c r="C4" i="10" s="1"/>
  <c r="C3" i="10"/>
  <c r="D3" i="10" s="1"/>
  <c r="D5" i="9"/>
  <c r="C5" i="9" s="1"/>
  <c r="D4" i="9"/>
  <c r="C4" i="9" s="1"/>
  <c r="C6" i="9" s="1"/>
  <c r="C3" i="9"/>
  <c r="D3" i="9" s="1"/>
  <c r="D6" i="9" s="1"/>
  <c r="D5" i="8"/>
  <c r="C5" i="8" s="1"/>
  <c r="D4" i="8"/>
  <c r="C4" i="8" s="1"/>
  <c r="C3" i="8"/>
  <c r="D3" i="8" s="1"/>
  <c r="D5" i="7"/>
  <c r="C5" i="7" s="1"/>
  <c r="D4" i="7"/>
  <c r="C4" i="7" s="1"/>
  <c r="C6" i="7" s="1"/>
  <c r="C3" i="7"/>
  <c r="D3" i="7" s="1"/>
  <c r="D5" i="6"/>
  <c r="C5" i="6" s="1"/>
  <c r="D4" i="6"/>
  <c r="C4" i="6" s="1"/>
  <c r="C6" i="6" s="1"/>
  <c r="C3" i="6"/>
  <c r="D3" i="6" s="1"/>
  <c r="C5" i="11"/>
  <c r="C4" i="11"/>
  <c r="D3" i="11"/>
  <c r="C26" i="17"/>
  <c r="D26" i="17" s="1"/>
  <c r="C25" i="17"/>
  <c r="D25" i="17" s="1"/>
  <c r="B26" i="17"/>
  <c r="B25" i="17"/>
  <c r="C26" i="16"/>
  <c r="D26" i="16" s="1"/>
  <c r="C25" i="16"/>
  <c r="D25" i="16" s="1"/>
  <c r="B26" i="16"/>
  <c r="B25" i="16"/>
  <c r="C26" i="15"/>
  <c r="D26" i="15" s="1"/>
  <c r="C25" i="15"/>
  <c r="D25" i="15" s="1"/>
  <c r="B26" i="15"/>
  <c r="B25" i="15"/>
  <c r="C26" i="14"/>
  <c r="D26" i="14" s="1"/>
  <c r="C25" i="14"/>
  <c r="D25" i="14" s="1"/>
  <c r="B26" i="14"/>
  <c r="B25" i="14"/>
  <c r="C26" i="13"/>
  <c r="D26" i="13" s="1"/>
  <c r="C25" i="13"/>
  <c r="D25" i="13" s="1"/>
  <c r="B26" i="13"/>
  <c r="B25" i="13"/>
  <c r="C26" i="12"/>
  <c r="D26" i="12" s="1"/>
  <c r="C25" i="12"/>
  <c r="D25" i="12" s="1"/>
  <c r="B26" i="12"/>
  <c r="B25" i="12"/>
  <c r="C26" i="10"/>
  <c r="D26" i="10" s="1"/>
  <c r="C25" i="10"/>
  <c r="D25" i="10" s="1"/>
  <c r="B26" i="10"/>
  <c r="B25" i="10"/>
  <c r="C26" i="9"/>
  <c r="D26" i="9" s="1"/>
  <c r="C25" i="9"/>
  <c r="D25" i="9" s="1"/>
  <c r="B26" i="9"/>
  <c r="B25" i="9"/>
  <c r="C26" i="8"/>
  <c r="D26" i="8" s="1"/>
  <c r="C25" i="8"/>
  <c r="D25" i="8" s="1"/>
  <c r="B26" i="8"/>
  <c r="B25" i="8"/>
  <c r="C26" i="7"/>
  <c r="D26" i="7" s="1"/>
  <c r="C25" i="7"/>
  <c r="D25" i="7" s="1"/>
  <c r="B26" i="7"/>
  <c r="B25" i="7"/>
  <c r="C26" i="6"/>
  <c r="D26" i="6" s="1"/>
  <c r="C25" i="6"/>
  <c r="D25" i="6" s="1"/>
  <c r="B26" i="6"/>
  <c r="B25" i="6"/>
  <c r="C24" i="17"/>
  <c r="D24" i="17" s="1"/>
  <c r="C23" i="17"/>
  <c r="D23" i="17" s="1"/>
  <c r="C22" i="17"/>
  <c r="D22" i="17" s="1"/>
  <c r="B24" i="17"/>
  <c r="B23" i="17"/>
  <c r="B22" i="17"/>
  <c r="D22" i="16"/>
  <c r="C24" i="16"/>
  <c r="D24" i="16" s="1"/>
  <c r="C23" i="16"/>
  <c r="D23" i="16" s="1"/>
  <c r="C22" i="16"/>
  <c r="B24" i="16"/>
  <c r="B23" i="16"/>
  <c r="B22" i="16"/>
  <c r="C24" i="15"/>
  <c r="D24" i="15" s="1"/>
  <c r="C23" i="15"/>
  <c r="D23" i="15" s="1"/>
  <c r="C22" i="15"/>
  <c r="D22" i="15" s="1"/>
  <c r="B24" i="15"/>
  <c r="B23" i="15"/>
  <c r="B22" i="15"/>
  <c r="C24" i="14"/>
  <c r="D24" i="14" s="1"/>
  <c r="C23" i="14"/>
  <c r="D23" i="14" s="1"/>
  <c r="C22" i="14"/>
  <c r="D22" i="14" s="1"/>
  <c r="B24" i="14"/>
  <c r="B23" i="14"/>
  <c r="B22" i="14"/>
  <c r="C24" i="13"/>
  <c r="D24" i="13" s="1"/>
  <c r="C23" i="13"/>
  <c r="D23" i="13" s="1"/>
  <c r="C22" i="13"/>
  <c r="D22" i="13" s="1"/>
  <c r="B24" i="13"/>
  <c r="B23" i="13"/>
  <c r="B22" i="13"/>
  <c r="C24" i="12"/>
  <c r="D24" i="12" s="1"/>
  <c r="C23" i="12"/>
  <c r="D23" i="12" s="1"/>
  <c r="C22" i="12"/>
  <c r="D22" i="12" s="1"/>
  <c r="B24" i="12"/>
  <c r="B23" i="12"/>
  <c r="B22" i="12"/>
  <c r="C24" i="10"/>
  <c r="D24" i="10" s="1"/>
  <c r="C23" i="10"/>
  <c r="D23" i="10" s="1"/>
  <c r="C22" i="10"/>
  <c r="D22" i="10" s="1"/>
  <c r="B24" i="10"/>
  <c r="B23" i="10"/>
  <c r="B22" i="10"/>
  <c r="C24" i="9"/>
  <c r="D24" i="9" s="1"/>
  <c r="C23" i="9"/>
  <c r="D23" i="9" s="1"/>
  <c r="C22" i="9"/>
  <c r="D22" i="9" s="1"/>
  <c r="B24" i="9"/>
  <c r="B23" i="9"/>
  <c r="B22" i="9"/>
  <c r="C24" i="8"/>
  <c r="D24" i="8" s="1"/>
  <c r="C23" i="8"/>
  <c r="D23" i="8" s="1"/>
  <c r="C22" i="8"/>
  <c r="D22" i="8" s="1"/>
  <c r="B24" i="8"/>
  <c r="B23" i="8"/>
  <c r="B22" i="8"/>
  <c r="C24" i="7"/>
  <c r="D24" i="7" s="1"/>
  <c r="C23" i="7"/>
  <c r="D23" i="7" s="1"/>
  <c r="C22" i="7"/>
  <c r="D22" i="7" s="1"/>
  <c r="B24" i="7"/>
  <c r="B23" i="7"/>
  <c r="B22" i="7"/>
  <c r="C24" i="6"/>
  <c r="D24" i="6" s="1"/>
  <c r="C23" i="6"/>
  <c r="D23" i="6" s="1"/>
  <c r="C22" i="6"/>
  <c r="D22" i="6" s="1"/>
  <c r="B24" i="6"/>
  <c r="B23" i="6"/>
  <c r="B22" i="6"/>
  <c r="C31" i="17"/>
  <c r="D31" i="17" s="1"/>
  <c r="B31" i="17"/>
  <c r="C30" i="17"/>
  <c r="D30" i="17" s="1"/>
  <c r="B30" i="17"/>
  <c r="C29" i="17"/>
  <c r="D29" i="17" s="1"/>
  <c r="B29" i="17"/>
  <c r="C28" i="17"/>
  <c r="D28" i="17" s="1"/>
  <c r="B28" i="17"/>
  <c r="C31" i="16"/>
  <c r="D31" i="16" s="1"/>
  <c r="B31" i="16"/>
  <c r="C30" i="16"/>
  <c r="D30" i="16" s="1"/>
  <c r="B30" i="16"/>
  <c r="C29" i="16"/>
  <c r="D29" i="16" s="1"/>
  <c r="B29" i="16"/>
  <c r="C28" i="16"/>
  <c r="D28" i="16" s="1"/>
  <c r="B28" i="16"/>
  <c r="C31" i="15"/>
  <c r="D31" i="15" s="1"/>
  <c r="B31" i="15"/>
  <c r="C30" i="15"/>
  <c r="D30" i="15" s="1"/>
  <c r="B30" i="15"/>
  <c r="C29" i="15"/>
  <c r="D29" i="15" s="1"/>
  <c r="B29" i="15"/>
  <c r="C28" i="15"/>
  <c r="D28" i="15" s="1"/>
  <c r="B28" i="15"/>
  <c r="C31" i="14"/>
  <c r="D31" i="14" s="1"/>
  <c r="B31" i="14"/>
  <c r="C30" i="14"/>
  <c r="D30" i="14" s="1"/>
  <c r="B30" i="14"/>
  <c r="C29" i="14"/>
  <c r="D29" i="14" s="1"/>
  <c r="B29" i="14"/>
  <c r="C28" i="14"/>
  <c r="D28" i="14" s="1"/>
  <c r="B28" i="14"/>
  <c r="C31" i="13"/>
  <c r="D31" i="13" s="1"/>
  <c r="B31" i="13"/>
  <c r="C30" i="13"/>
  <c r="D30" i="13" s="1"/>
  <c r="B30" i="13"/>
  <c r="C29" i="13"/>
  <c r="D29" i="13" s="1"/>
  <c r="B29" i="13"/>
  <c r="C28" i="13"/>
  <c r="D28" i="13" s="1"/>
  <c r="B28" i="13"/>
  <c r="C31" i="12"/>
  <c r="D31" i="12" s="1"/>
  <c r="B31" i="12"/>
  <c r="C30" i="12"/>
  <c r="D30" i="12" s="1"/>
  <c r="B30" i="12"/>
  <c r="C29" i="12"/>
  <c r="D29" i="12" s="1"/>
  <c r="B29" i="12"/>
  <c r="C28" i="12"/>
  <c r="D28" i="12" s="1"/>
  <c r="B28" i="12"/>
  <c r="C31" i="10"/>
  <c r="D31" i="10" s="1"/>
  <c r="B31" i="10"/>
  <c r="C30" i="10"/>
  <c r="D30" i="10" s="1"/>
  <c r="B30" i="10"/>
  <c r="C29" i="10"/>
  <c r="D29" i="10" s="1"/>
  <c r="B29" i="10"/>
  <c r="C28" i="10"/>
  <c r="D28" i="10" s="1"/>
  <c r="B28" i="10"/>
  <c r="C31" i="9"/>
  <c r="D31" i="9" s="1"/>
  <c r="B31" i="9"/>
  <c r="C30" i="9"/>
  <c r="D30" i="9" s="1"/>
  <c r="B30" i="9"/>
  <c r="C29" i="9"/>
  <c r="D29" i="9" s="1"/>
  <c r="B29" i="9"/>
  <c r="C28" i="9"/>
  <c r="D28" i="9" s="1"/>
  <c r="B28" i="9"/>
  <c r="C31" i="8"/>
  <c r="D31" i="8" s="1"/>
  <c r="B31" i="8"/>
  <c r="C30" i="8"/>
  <c r="D30" i="8" s="1"/>
  <c r="B30" i="8"/>
  <c r="C29" i="8"/>
  <c r="D29" i="8" s="1"/>
  <c r="B29" i="8"/>
  <c r="C28" i="8"/>
  <c r="D28" i="8" s="1"/>
  <c r="B28" i="8"/>
  <c r="C31" i="7"/>
  <c r="D31" i="7" s="1"/>
  <c r="B31" i="7"/>
  <c r="C30" i="7"/>
  <c r="D30" i="7" s="1"/>
  <c r="B30" i="7"/>
  <c r="C29" i="7"/>
  <c r="D29" i="7" s="1"/>
  <c r="B29" i="7"/>
  <c r="C28" i="7"/>
  <c r="D28" i="7" s="1"/>
  <c r="B28" i="7"/>
  <c r="C31" i="6"/>
  <c r="D31" i="6" s="1"/>
  <c r="B31" i="6"/>
  <c r="C30" i="6"/>
  <c r="D30" i="6" s="1"/>
  <c r="B30" i="6"/>
  <c r="C29" i="6"/>
  <c r="D29" i="6" s="1"/>
  <c r="B29" i="6"/>
  <c r="C28" i="6"/>
  <c r="D28" i="6" s="1"/>
  <c r="B28" i="6"/>
  <c r="C27" i="17"/>
  <c r="D27" i="17" s="1"/>
  <c r="B27" i="17"/>
  <c r="C21" i="17"/>
  <c r="D21" i="17" s="1"/>
  <c r="B21" i="17"/>
  <c r="C20" i="17"/>
  <c r="D20" i="17" s="1"/>
  <c r="B20" i="17"/>
  <c r="C19" i="17"/>
  <c r="D19" i="17" s="1"/>
  <c r="B19" i="17"/>
  <c r="C18" i="17"/>
  <c r="D18" i="17" s="1"/>
  <c r="B18" i="17"/>
  <c r="C17" i="17"/>
  <c r="D17" i="17" s="1"/>
  <c r="B17" i="17"/>
  <c r="C16" i="17"/>
  <c r="D16" i="17" s="1"/>
  <c r="B16" i="17"/>
  <c r="C15" i="17"/>
  <c r="D15" i="17" s="1"/>
  <c r="B15" i="17"/>
  <c r="C14" i="17"/>
  <c r="D14" i="17" s="1"/>
  <c r="B14" i="17"/>
  <c r="C13" i="17"/>
  <c r="B13" i="17"/>
  <c r="C27" i="16"/>
  <c r="D27" i="16" s="1"/>
  <c r="B27" i="16"/>
  <c r="C21" i="16"/>
  <c r="D21" i="16" s="1"/>
  <c r="B21" i="16"/>
  <c r="C20" i="16"/>
  <c r="D20" i="16" s="1"/>
  <c r="B20" i="16"/>
  <c r="C19" i="16"/>
  <c r="D19" i="16" s="1"/>
  <c r="B19" i="16"/>
  <c r="C18" i="16"/>
  <c r="D18" i="16" s="1"/>
  <c r="B18" i="16"/>
  <c r="C17" i="16"/>
  <c r="D17" i="16" s="1"/>
  <c r="B17" i="16"/>
  <c r="C16" i="16"/>
  <c r="D16" i="16" s="1"/>
  <c r="B16" i="16"/>
  <c r="C15" i="16"/>
  <c r="D15" i="16" s="1"/>
  <c r="B15" i="16"/>
  <c r="C14" i="16"/>
  <c r="D14" i="16" s="1"/>
  <c r="B14" i="16"/>
  <c r="C13" i="16"/>
  <c r="B13" i="16"/>
  <c r="C27" i="15"/>
  <c r="D27" i="15" s="1"/>
  <c r="B27" i="15"/>
  <c r="C21" i="15"/>
  <c r="D21" i="15" s="1"/>
  <c r="B21" i="15"/>
  <c r="C20" i="15"/>
  <c r="D20" i="15" s="1"/>
  <c r="B20" i="15"/>
  <c r="C19" i="15"/>
  <c r="D19" i="15" s="1"/>
  <c r="B19" i="15"/>
  <c r="C18" i="15"/>
  <c r="D18" i="15" s="1"/>
  <c r="B18" i="15"/>
  <c r="C17" i="15"/>
  <c r="D17" i="15" s="1"/>
  <c r="B17" i="15"/>
  <c r="C16" i="15"/>
  <c r="D16" i="15" s="1"/>
  <c r="B16" i="15"/>
  <c r="C15" i="15"/>
  <c r="D15" i="15" s="1"/>
  <c r="B15" i="15"/>
  <c r="C14" i="15"/>
  <c r="D14" i="15" s="1"/>
  <c r="B14" i="15"/>
  <c r="C13" i="15"/>
  <c r="D13" i="15" s="1"/>
  <c r="B13" i="15"/>
  <c r="C27" i="14"/>
  <c r="D27" i="14" s="1"/>
  <c r="B27" i="14"/>
  <c r="C21" i="14"/>
  <c r="D21" i="14" s="1"/>
  <c r="B21" i="14"/>
  <c r="C20" i="14"/>
  <c r="D20" i="14" s="1"/>
  <c r="B20" i="14"/>
  <c r="C19" i="14"/>
  <c r="D19" i="14" s="1"/>
  <c r="B19" i="14"/>
  <c r="C18" i="14"/>
  <c r="D18" i="14" s="1"/>
  <c r="B18" i="14"/>
  <c r="C17" i="14"/>
  <c r="D17" i="14" s="1"/>
  <c r="B17" i="14"/>
  <c r="C16" i="14"/>
  <c r="D16" i="14" s="1"/>
  <c r="B16" i="14"/>
  <c r="C15" i="14"/>
  <c r="D15" i="14" s="1"/>
  <c r="B15" i="14"/>
  <c r="C14" i="14"/>
  <c r="D14" i="14" s="1"/>
  <c r="B14" i="14"/>
  <c r="C13" i="14"/>
  <c r="B13" i="14"/>
  <c r="C27" i="13"/>
  <c r="D27" i="13" s="1"/>
  <c r="B27" i="13"/>
  <c r="C21" i="13"/>
  <c r="D21" i="13" s="1"/>
  <c r="B21" i="13"/>
  <c r="C20" i="13"/>
  <c r="D20" i="13" s="1"/>
  <c r="B20" i="13"/>
  <c r="C19" i="13"/>
  <c r="D19" i="13" s="1"/>
  <c r="B19" i="13"/>
  <c r="C18" i="13"/>
  <c r="D18" i="13" s="1"/>
  <c r="B18" i="13"/>
  <c r="C17" i="13"/>
  <c r="D17" i="13" s="1"/>
  <c r="B17" i="13"/>
  <c r="C16" i="13"/>
  <c r="D16" i="13" s="1"/>
  <c r="B16" i="13"/>
  <c r="C15" i="13"/>
  <c r="D15" i="13" s="1"/>
  <c r="B15" i="13"/>
  <c r="C14" i="13"/>
  <c r="D14" i="13" s="1"/>
  <c r="B14" i="13"/>
  <c r="C13" i="13"/>
  <c r="D13" i="13" s="1"/>
  <c r="B13" i="13"/>
  <c r="C27" i="12"/>
  <c r="D27" i="12" s="1"/>
  <c r="B27" i="12"/>
  <c r="C21" i="12"/>
  <c r="D21" i="12" s="1"/>
  <c r="B21" i="12"/>
  <c r="C20" i="12"/>
  <c r="D20" i="12" s="1"/>
  <c r="B20" i="12"/>
  <c r="C19" i="12"/>
  <c r="D19" i="12" s="1"/>
  <c r="B19" i="12"/>
  <c r="C18" i="12"/>
  <c r="D18" i="12" s="1"/>
  <c r="B18" i="12"/>
  <c r="C17" i="12"/>
  <c r="D17" i="12" s="1"/>
  <c r="B17" i="12"/>
  <c r="C16" i="12"/>
  <c r="D16" i="12" s="1"/>
  <c r="B16" i="12"/>
  <c r="C15" i="12"/>
  <c r="D15" i="12" s="1"/>
  <c r="B15" i="12"/>
  <c r="C14" i="12"/>
  <c r="D14" i="12" s="1"/>
  <c r="B14" i="12"/>
  <c r="C13" i="12"/>
  <c r="B13" i="12"/>
  <c r="C27" i="10"/>
  <c r="D27" i="10" s="1"/>
  <c r="B27" i="10"/>
  <c r="C21" i="10"/>
  <c r="D21" i="10" s="1"/>
  <c r="B21" i="10"/>
  <c r="C20" i="10"/>
  <c r="D20" i="10" s="1"/>
  <c r="B20" i="10"/>
  <c r="C19" i="10"/>
  <c r="D19" i="10" s="1"/>
  <c r="B19" i="10"/>
  <c r="C18" i="10"/>
  <c r="D18" i="10" s="1"/>
  <c r="B18" i="10"/>
  <c r="C17" i="10"/>
  <c r="D17" i="10" s="1"/>
  <c r="B17" i="10"/>
  <c r="C16" i="10"/>
  <c r="D16" i="10" s="1"/>
  <c r="B16" i="10"/>
  <c r="C15" i="10"/>
  <c r="D15" i="10" s="1"/>
  <c r="B15" i="10"/>
  <c r="C14" i="10"/>
  <c r="D14" i="10" s="1"/>
  <c r="B14" i="10"/>
  <c r="C13" i="10"/>
  <c r="B13" i="10"/>
  <c r="C27" i="9"/>
  <c r="D27" i="9" s="1"/>
  <c r="B27" i="9"/>
  <c r="C21" i="9"/>
  <c r="D21" i="9" s="1"/>
  <c r="B21" i="9"/>
  <c r="C20" i="9"/>
  <c r="D20" i="9" s="1"/>
  <c r="B20" i="9"/>
  <c r="C19" i="9"/>
  <c r="D19" i="9" s="1"/>
  <c r="B19" i="9"/>
  <c r="C18" i="9"/>
  <c r="D18" i="9" s="1"/>
  <c r="B18" i="9"/>
  <c r="C17" i="9"/>
  <c r="D17" i="9" s="1"/>
  <c r="B17" i="9"/>
  <c r="C16" i="9"/>
  <c r="D16" i="9" s="1"/>
  <c r="B16" i="9"/>
  <c r="C15" i="9"/>
  <c r="D15" i="9" s="1"/>
  <c r="B15" i="9"/>
  <c r="C14" i="9"/>
  <c r="D14" i="9" s="1"/>
  <c r="B14" i="9"/>
  <c r="C13" i="9"/>
  <c r="B13" i="9"/>
  <c r="C27" i="8"/>
  <c r="D27" i="8" s="1"/>
  <c r="B27" i="8"/>
  <c r="C21" i="8"/>
  <c r="D21" i="8" s="1"/>
  <c r="B21" i="8"/>
  <c r="C20" i="8"/>
  <c r="D20" i="8" s="1"/>
  <c r="B20" i="8"/>
  <c r="C19" i="8"/>
  <c r="D19" i="8" s="1"/>
  <c r="B19" i="8"/>
  <c r="C18" i="8"/>
  <c r="D18" i="8" s="1"/>
  <c r="B18" i="8"/>
  <c r="C17" i="8"/>
  <c r="D17" i="8" s="1"/>
  <c r="B17" i="8"/>
  <c r="C16" i="8"/>
  <c r="D16" i="8" s="1"/>
  <c r="B16" i="8"/>
  <c r="C15" i="8"/>
  <c r="D15" i="8" s="1"/>
  <c r="B15" i="8"/>
  <c r="C14" i="8"/>
  <c r="D14" i="8" s="1"/>
  <c r="B14" i="8"/>
  <c r="C13" i="8"/>
  <c r="B13" i="8"/>
  <c r="C27" i="7"/>
  <c r="D27" i="7" s="1"/>
  <c r="B27" i="7"/>
  <c r="C21" i="7"/>
  <c r="D21" i="7" s="1"/>
  <c r="B21" i="7"/>
  <c r="C20" i="7"/>
  <c r="D20" i="7" s="1"/>
  <c r="B20" i="7"/>
  <c r="C19" i="7"/>
  <c r="D19" i="7" s="1"/>
  <c r="B19" i="7"/>
  <c r="C18" i="7"/>
  <c r="D18" i="7" s="1"/>
  <c r="B18" i="7"/>
  <c r="C17" i="7"/>
  <c r="D17" i="7" s="1"/>
  <c r="B17" i="7"/>
  <c r="C16" i="7"/>
  <c r="D16" i="7" s="1"/>
  <c r="B16" i="7"/>
  <c r="C15" i="7"/>
  <c r="D15" i="7" s="1"/>
  <c r="B15" i="7"/>
  <c r="C14" i="7"/>
  <c r="D14" i="7" s="1"/>
  <c r="B14" i="7"/>
  <c r="C13" i="7"/>
  <c r="B13" i="7"/>
  <c r="C27" i="6"/>
  <c r="D27" i="6" s="1"/>
  <c r="B27" i="6"/>
  <c r="C21" i="6"/>
  <c r="D21" i="6" s="1"/>
  <c r="B21" i="6"/>
  <c r="C20" i="6"/>
  <c r="D20" i="6" s="1"/>
  <c r="B20" i="6"/>
  <c r="C19" i="6"/>
  <c r="D19" i="6" s="1"/>
  <c r="B19" i="6"/>
  <c r="C18" i="6"/>
  <c r="D18" i="6" s="1"/>
  <c r="B18" i="6"/>
  <c r="C17" i="6"/>
  <c r="D17" i="6" s="1"/>
  <c r="B17" i="6"/>
  <c r="C16" i="6"/>
  <c r="D16" i="6" s="1"/>
  <c r="B16" i="6"/>
  <c r="D15" i="6"/>
  <c r="C14" i="6"/>
  <c r="D14" i="6" s="1"/>
  <c r="B14" i="6"/>
  <c r="C13" i="6"/>
  <c r="D13" i="6" s="1"/>
  <c r="B13" i="6"/>
  <c r="X57" i="17"/>
  <c r="W57" i="17"/>
  <c r="S57" i="17"/>
  <c r="R57" i="17"/>
  <c r="N57" i="17"/>
  <c r="M57" i="17"/>
  <c r="I57" i="17"/>
  <c r="H57" i="17"/>
  <c r="D57" i="17"/>
  <c r="C57" i="17"/>
  <c r="X57" i="16"/>
  <c r="W57" i="16"/>
  <c r="S57" i="16"/>
  <c r="R57" i="16"/>
  <c r="N57" i="16"/>
  <c r="M57" i="16"/>
  <c r="I57" i="16"/>
  <c r="H57" i="16"/>
  <c r="D57" i="16"/>
  <c r="C57" i="16"/>
  <c r="X57" i="15"/>
  <c r="W57" i="15"/>
  <c r="S57" i="15"/>
  <c r="R57" i="15"/>
  <c r="N57" i="15"/>
  <c r="M57" i="15"/>
  <c r="I57" i="15"/>
  <c r="H57" i="15"/>
  <c r="D57" i="15"/>
  <c r="C57" i="15"/>
  <c r="X57" i="14"/>
  <c r="W57" i="14"/>
  <c r="S57" i="14"/>
  <c r="R57" i="14"/>
  <c r="N57" i="14"/>
  <c r="M57" i="14"/>
  <c r="I57" i="14"/>
  <c r="H57" i="14"/>
  <c r="D57" i="14"/>
  <c r="C57" i="14"/>
  <c r="X57" i="13"/>
  <c r="W57" i="13"/>
  <c r="S57" i="13"/>
  <c r="R57" i="13"/>
  <c r="N57" i="13"/>
  <c r="M57" i="13"/>
  <c r="I57" i="13"/>
  <c r="H57" i="13"/>
  <c r="D57" i="13"/>
  <c r="C57" i="13"/>
  <c r="X105" i="12"/>
  <c r="W105" i="12"/>
  <c r="S105" i="12"/>
  <c r="R105" i="12"/>
  <c r="N105" i="12"/>
  <c r="M105" i="12"/>
  <c r="C105" i="12"/>
  <c r="X87" i="10"/>
  <c r="W87" i="10"/>
  <c r="S87" i="10"/>
  <c r="R87" i="10"/>
  <c r="N87" i="10"/>
  <c r="M87" i="10"/>
  <c r="I87" i="10"/>
  <c r="H87" i="10"/>
  <c r="D87" i="10"/>
  <c r="C87" i="10"/>
  <c r="X68" i="9"/>
  <c r="W68" i="9"/>
  <c r="S68" i="9"/>
  <c r="R68" i="9"/>
  <c r="N68" i="9"/>
  <c r="M68" i="9"/>
  <c r="I68" i="9"/>
  <c r="H68" i="9"/>
  <c r="X57" i="8"/>
  <c r="W57" i="8"/>
  <c r="S57" i="8"/>
  <c r="R57" i="8"/>
  <c r="N57" i="8"/>
  <c r="M57" i="8"/>
  <c r="I57" i="8"/>
  <c r="H57" i="8"/>
  <c r="D57" i="8"/>
  <c r="C57" i="8"/>
  <c r="X57" i="7"/>
  <c r="W57" i="7"/>
  <c r="S57" i="7"/>
  <c r="R57" i="7"/>
  <c r="N57" i="7"/>
  <c r="M57" i="7"/>
  <c r="I57" i="7"/>
  <c r="H57" i="7"/>
  <c r="D57" i="7"/>
  <c r="C57" i="7"/>
  <c r="X57" i="6"/>
  <c r="W57" i="6"/>
  <c r="S57" i="6"/>
  <c r="R57" i="6"/>
  <c r="N57" i="6"/>
  <c r="M57" i="6"/>
  <c r="I57" i="6"/>
  <c r="H57" i="6"/>
  <c r="D57" i="6"/>
  <c r="C57" i="6"/>
  <c r="D19" i="5"/>
  <c r="C19" i="5"/>
  <c r="E18" i="5"/>
  <c r="E19" i="5" s="1"/>
  <c r="F19" i="5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E13" i="5"/>
  <c r="F13" i="5" s="1"/>
  <c r="E12" i="5"/>
  <c r="F12" i="5" s="1"/>
  <c r="E11" i="5"/>
  <c r="F11" i="5" s="1"/>
  <c r="D14" i="5"/>
  <c r="C14" i="5"/>
  <c r="B31" i="4" s="1"/>
  <c r="C31" i="4" s="1"/>
  <c r="E9" i="5"/>
  <c r="F9" i="5" s="1"/>
  <c r="E8" i="5"/>
  <c r="F8" i="5" s="1"/>
  <c r="E7" i="5"/>
  <c r="F7" i="5" s="1"/>
  <c r="E6" i="5"/>
  <c r="F6" i="5" s="1"/>
  <c r="E5" i="5"/>
  <c r="F5" i="5" s="1"/>
  <c r="B26" i="4"/>
  <c r="B30" i="4" s="1"/>
  <c r="C7" i="4"/>
  <c r="B29" i="4" s="1"/>
  <c r="C29" i="4" s="1"/>
  <c r="D32" i="11" l="1"/>
  <c r="C32" i="11"/>
  <c r="C41" i="4" s="1"/>
  <c r="G10" i="11"/>
  <c r="F6" i="11"/>
  <c r="C6" i="11"/>
  <c r="C6" i="12"/>
  <c r="C6" i="10"/>
  <c r="C6" i="13"/>
  <c r="D3" i="16"/>
  <c r="D6" i="16" s="1"/>
  <c r="C6" i="8"/>
  <c r="D3" i="12"/>
  <c r="D6" i="12" s="1"/>
  <c r="C6" i="14"/>
  <c r="C7" i="8"/>
  <c r="D6" i="8"/>
  <c r="D7" i="8" s="1"/>
  <c r="D6" i="15"/>
  <c r="D7" i="15" s="1"/>
  <c r="D7" i="9"/>
  <c r="D6" i="10"/>
  <c r="D6" i="17"/>
  <c r="C6" i="15"/>
  <c r="D6" i="6"/>
  <c r="D6" i="13"/>
  <c r="D7" i="13" s="1"/>
  <c r="D6" i="11"/>
  <c r="D6" i="7"/>
  <c r="D7" i="7" s="1"/>
  <c r="D6" i="14"/>
  <c r="D7" i="14" s="1"/>
  <c r="B32" i="14"/>
  <c r="B32" i="16"/>
  <c r="B32" i="7"/>
  <c r="B32" i="11"/>
  <c r="B32" i="13"/>
  <c r="B32" i="15"/>
  <c r="B32" i="17"/>
  <c r="D32" i="13"/>
  <c r="D32" i="15"/>
  <c r="C32" i="17"/>
  <c r="C47" i="4" s="1"/>
  <c r="B32" i="8"/>
  <c r="B32" i="6"/>
  <c r="C32" i="12"/>
  <c r="C42" i="4" s="1"/>
  <c r="C32" i="16"/>
  <c r="C46" i="4" s="1"/>
  <c r="C32" i="7"/>
  <c r="C37" i="4" s="1"/>
  <c r="C32" i="14"/>
  <c r="C44" i="4" s="1"/>
  <c r="B32" i="12"/>
  <c r="C32" i="8"/>
  <c r="C38" i="4" s="1"/>
  <c r="C32" i="13"/>
  <c r="C43" i="4" s="1"/>
  <c r="C32" i="6"/>
  <c r="C36" i="4" s="1"/>
  <c r="C32" i="15"/>
  <c r="C45" i="4" s="1"/>
  <c r="C32" i="10"/>
  <c r="C7" i="10" s="1"/>
  <c r="D32" i="6"/>
  <c r="B32" i="10"/>
  <c r="C40" i="4"/>
  <c r="B32" i="9"/>
  <c r="C32" i="9"/>
  <c r="C39" i="4" s="1"/>
  <c r="D13" i="17"/>
  <c r="D32" i="17" s="1"/>
  <c r="D13" i="16"/>
  <c r="D32" i="16" s="1"/>
  <c r="D7" i="16" s="1"/>
  <c r="D13" i="14"/>
  <c r="D32" i="14" s="1"/>
  <c r="D13" i="12"/>
  <c r="D32" i="12" s="1"/>
  <c r="D13" i="10"/>
  <c r="D32" i="10" s="1"/>
  <c r="D13" i="9"/>
  <c r="D32" i="9" s="1"/>
  <c r="D13" i="8"/>
  <c r="D32" i="8" s="1"/>
  <c r="D13" i="7"/>
  <c r="D32" i="7" s="1"/>
  <c r="F18" i="5"/>
  <c r="C26" i="4"/>
  <c r="C30" i="4" s="1"/>
  <c r="C32" i="4" s="1"/>
  <c r="E14" i="5"/>
  <c r="F14" i="5" s="1"/>
  <c r="B32" i="4"/>
  <c r="C7" i="12" l="1"/>
  <c r="D7" i="12"/>
  <c r="E32" i="11"/>
  <c r="D7" i="11" s="1"/>
  <c r="C7" i="14"/>
  <c r="C7" i="15"/>
  <c r="C7" i="7"/>
  <c r="D7" i="6"/>
  <c r="D7" i="17"/>
  <c r="C7" i="17"/>
  <c r="D7" i="10"/>
  <c r="C7" i="13"/>
  <c r="C7" i="16"/>
  <c r="C7" i="6"/>
  <c r="C7" i="9"/>
  <c r="B43" i="4"/>
  <c r="D43" i="4" s="1"/>
  <c r="C58" i="6"/>
  <c r="H58" i="6" s="1"/>
  <c r="M58" i="6" s="1"/>
  <c r="R58" i="6" s="1"/>
  <c r="W58" i="6" s="1"/>
  <c r="B47" i="4"/>
  <c r="D47" i="4" s="1"/>
  <c r="B37" i="4"/>
  <c r="D37" i="4" s="1"/>
  <c r="B42" i="4"/>
  <c r="D42" i="4" s="1"/>
  <c r="B36" i="4"/>
  <c r="B46" i="4"/>
  <c r="D46" i="4" s="1"/>
  <c r="C88" i="10"/>
  <c r="H88" i="10" s="1"/>
  <c r="M88" i="10" s="1"/>
  <c r="R88" i="10" s="1"/>
  <c r="W88" i="10" s="1"/>
  <c r="B45" i="4"/>
  <c r="D45" i="4" s="1"/>
  <c r="B40" i="4"/>
  <c r="D40" i="4" s="1"/>
  <c r="B39" i="4"/>
  <c r="D39" i="4" s="1"/>
  <c r="B44" i="4"/>
  <c r="D44" i="4" s="1"/>
  <c r="C58" i="7"/>
  <c r="H58" i="7" s="1"/>
  <c r="M58" i="7" s="1"/>
  <c r="R58" i="7" s="1"/>
  <c r="W58" i="7" s="1"/>
  <c r="C106" i="12"/>
  <c r="H106" i="12" s="1"/>
  <c r="M106" i="12" s="1"/>
  <c r="R106" i="12" s="1"/>
  <c r="W106" i="12" s="1"/>
  <c r="B41" i="4"/>
  <c r="D41" i="4" s="1"/>
  <c r="C58" i="16"/>
  <c r="H58" i="16" s="1"/>
  <c r="M58" i="16" s="1"/>
  <c r="R58" i="16" s="1"/>
  <c r="W58" i="16" s="1"/>
  <c r="C58" i="15"/>
  <c r="C58" i="8"/>
  <c r="H58" i="8" s="1"/>
  <c r="M58" i="8" s="1"/>
  <c r="R58" i="8" s="1"/>
  <c r="W58" i="8" s="1"/>
  <c r="B38" i="4"/>
  <c r="D38" i="4" s="1"/>
  <c r="C58" i="17"/>
  <c r="H58" i="17" s="1"/>
  <c r="M58" i="17" s="1"/>
  <c r="R58" i="17" s="1"/>
  <c r="W58" i="17" s="1"/>
  <c r="C58" i="14"/>
  <c r="H58" i="14" s="1"/>
  <c r="M58" i="14" s="1"/>
  <c r="R58" i="14" s="1"/>
  <c r="W58" i="14" s="1"/>
  <c r="C58" i="13"/>
  <c r="H58" i="13" s="1"/>
  <c r="M58" i="13" s="1"/>
  <c r="R58" i="13" s="1"/>
  <c r="W58" i="13" s="1"/>
  <c r="D106" i="12"/>
  <c r="I106" i="12" s="1"/>
  <c r="N106" i="12" s="1"/>
  <c r="S106" i="12" s="1"/>
  <c r="X106" i="12" s="1"/>
  <c r="D58" i="17"/>
  <c r="I58" i="17" s="1"/>
  <c r="N58" i="17" s="1"/>
  <c r="S58" i="17" s="1"/>
  <c r="X58" i="17" s="1"/>
  <c r="D58" i="16"/>
  <c r="I58" i="16" s="1"/>
  <c r="N58" i="16" s="1"/>
  <c r="S58" i="16" s="1"/>
  <c r="X58" i="16" s="1"/>
  <c r="D58" i="8"/>
  <c r="I58" i="8" s="1"/>
  <c r="N58" i="8" s="1"/>
  <c r="S58" i="8" s="1"/>
  <c r="X58" i="8" s="1"/>
  <c r="D58" i="13"/>
  <c r="I58" i="13" s="1"/>
  <c r="N58" i="13" s="1"/>
  <c r="S58" i="13" s="1"/>
  <c r="X58" i="13" s="1"/>
  <c r="D88" i="10"/>
  <c r="I88" i="10" s="1"/>
  <c r="N88" i="10" s="1"/>
  <c r="S88" i="10" s="1"/>
  <c r="X88" i="10" s="1"/>
  <c r="D58" i="15"/>
  <c r="I58" i="15" s="1"/>
  <c r="N58" i="15" s="1"/>
  <c r="S58" i="15" s="1"/>
  <c r="X58" i="15" s="1"/>
  <c r="D58" i="14"/>
  <c r="I58" i="14" s="1"/>
  <c r="N58" i="14" s="1"/>
  <c r="S58" i="14" s="1"/>
  <c r="X58" i="14" s="1"/>
  <c r="D58" i="7"/>
  <c r="D58" i="6"/>
  <c r="I58" i="6" s="1"/>
  <c r="N58" i="6" s="1"/>
  <c r="S58" i="6" s="1"/>
  <c r="X58" i="6" s="1"/>
  <c r="D36" i="4"/>
  <c r="I58" i="7"/>
  <c r="N58" i="7" s="1"/>
  <c r="S58" i="7" s="1"/>
  <c r="X58" i="7" s="1"/>
  <c r="H58" i="15"/>
  <c r="M58" i="15" s="1"/>
  <c r="R58" i="15" s="1"/>
  <c r="W58" i="15" s="1"/>
  <c r="C68" i="9" l="1"/>
  <c r="C69" i="9" s="1"/>
  <c r="H69" i="9" s="1"/>
  <c r="M69" i="9" s="1"/>
  <c r="R69" i="9" s="1"/>
  <c r="W69" i="9" s="1"/>
  <c r="D68" i="9"/>
  <c r="D69" i="9" s="1"/>
  <c r="I69" i="9" s="1"/>
  <c r="N69" i="9" s="1"/>
  <c r="S69" i="9" s="1"/>
  <c r="X69" i="9" s="1"/>
  <c r="B48" i="4"/>
  <c r="C48" i="4"/>
  <c r="D48" i="4" s="1"/>
</calcChain>
</file>

<file path=xl/sharedStrings.xml><?xml version="1.0" encoding="utf-8"?>
<sst xmlns="http://schemas.openxmlformats.org/spreadsheetml/2006/main" count="1800" uniqueCount="398">
  <si>
    <t>Salary 1</t>
  </si>
  <si>
    <t>AED</t>
  </si>
  <si>
    <t>Salary 2</t>
  </si>
  <si>
    <t>TOTAL</t>
  </si>
  <si>
    <t>Nanny/Maid</t>
  </si>
  <si>
    <t>Car Wash</t>
  </si>
  <si>
    <t>EUR</t>
  </si>
  <si>
    <t>Gas</t>
  </si>
  <si>
    <t>Compra Mensual</t>
  </si>
  <si>
    <t>Alquiler Piso</t>
  </si>
  <si>
    <t>Emergencia Coche</t>
  </si>
  <si>
    <t>Seguro Coche</t>
  </si>
  <si>
    <t>Cuenta Inversiones</t>
  </si>
  <si>
    <t>Otros 1</t>
  </si>
  <si>
    <t>Otros 2</t>
  </si>
  <si>
    <t>Otros 3</t>
  </si>
  <si>
    <t>Emergencias varias</t>
  </si>
  <si>
    <t>Seguro Bea</t>
  </si>
  <si>
    <t>Visado Bea</t>
  </si>
  <si>
    <t>Multas</t>
  </si>
  <si>
    <t>PRESUPUESTO MENSUAL — DUBAI</t>
  </si>
  <si>
    <t>INGRESOS</t>
  </si>
  <si>
    <t>Adicional</t>
  </si>
  <si>
    <t>TOTAL INGRESOS</t>
  </si>
  <si>
    <t>Concepto</t>
  </si>
  <si>
    <t>Coche (préstamo/pago)</t>
  </si>
  <si>
    <t>DEWA (electricidad)</t>
  </si>
  <si>
    <t>Gasolina y Salik</t>
  </si>
  <si>
    <t>Móviles</t>
  </si>
  <si>
    <t>Internet</t>
  </si>
  <si>
    <t>Suscripciones (Spotify, Prime, Youtube)</t>
  </si>
  <si>
    <t>TOTAL GASTOS FIJOS</t>
  </si>
  <si>
    <t>DISTRIBUCIÓN DEL INGRESO</t>
  </si>
  <si>
    <t>Total Ingresos</t>
  </si>
  <si>
    <t>(-) Gastos Fijos</t>
  </si>
  <si>
    <t>(-) Ahorros</t>
  </si>
  <si>
    <t>= Disponible para Gastar</t>
  </si>
  <si>
    <t>AHORROS E INVERSIONES</t>
  </si>
  <si>
    <t>CUENTAS DE AHORRO</t>
  </si>
  <si>
    <t>Cuenta</t>
  </si>
  <si>
    <t>Objetivo</t>
  </si>
  <si>
    <t>Contribución</t>
  </si>
  <si>
    <t>Saldo Inicial</t>
  </si>
  <si>
    <t>Saldo Final</t>
  </si>
  <si>
    <t>Cuenta Corriente</t>
  </si>
  <si>
    <t>TOTAL AHORRO</t>
  </si>
  <si>
    <t>Emergencia Médica</t>
  </si>
  <si>
    <t>FONDOS DE EMERGENCIA</t>
  </si>
  <si>
    <t>Restaurantes</t>
  </si>
  <si>
    <t>REGISTRO SEMANAL</t>
  </si>
  <si>
    <t>SEMANA 1</t>
  </si>
  <si>
    <t>SEMANA 2</t>
  </si>
  <si>
    <t>SEMANA 3</t>
  </si>
  <si>
    <t>SEMANA 4</t>
  </si>
  <si>
    <t>SEMANA 5</t>
  </si>
  <si>
    <t>Categ.</t>
  </si>
  <si>
    <t>RESTANTE</t>
  </si>
  <si>
    <t>PROVISIONES (Sinking Funds)</t>
  </si>
  <si>
    <t>Medicinas y gastos médicos</t>
  </si>
  <si>
    <t>TOTAL PROVISIONES</t>
  </si>
  <si>
    <t>GASTOS MENSUALES</t>
  </si>
  <si>
    <t>Saldo Final €</t>
  </si>
  <si>
    <t>Sofa y mesa café</t>
  </si>
  <si>
    <t>RESUMEN ANUAL — GASTOS VARIABLES</t>
  </si>
  <si>
    <t>Mes</t>
  </si>
  <si>
    <t>Presupuesto</t>
  </si>
  <si>
    <t>Gastado</t>
  </si>
  <si>
    <t>Restante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</si>
  <si>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</si>
  <si>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</si>
  <si>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</si>
  <si>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</si>
  <si>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</si>
  <si>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</si>
  <si>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</si>
  <si>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</si>
  <si>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</si>
  <si>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</si>
  <si>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</si>
  <si>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</si>
  <si>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</si>
  <si>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Restaurante</t>
  </si>
  <si>
    <t xml:space="preserve">Starbucks </t>
  </si>
  <si>
    <t>Zara</t>
  </si>
  <si>
    <t>Shabab Stores</t>
  </si>
  <si>
    <t xml:space="preserve">New Shangai </t>
  </si>
  <si>
    <t xml:space="preserve">Booking apartment </t>
  </si>
  <si>
    <t xml:space="preserve">Asemas </t>
  </si>
  <si>
    <t>Boulevard plaza bsc</t>
  </si>
  <si>
    <t xml:space="preserve">Delivery </t>
  </si>
  <si>
    <t>Careem</t>
  </si>
  <si>
    <t>Hubba caffee</t>
  </si>
  <si>
    <t>Hexa café</t>
  </si>
  <si>
    <t xml:space="preserve">Generali España </t>
  </si>
  <si>
    <t xml:space="preserve">Art 14 tower park </t>
  </si>
  <si>
    <t xml:space="preserve">Apointa </t>
  </si>
  <si>
    <t>Gmg Consumeer</t>
  </si>
  <si>
    <t>Supermercado</t>
  </si>
  <si>
    <t>Emarat 6565</t>
  </si>
  <si>
    <t xml:space="preserve">Sobremesa </t>
  </si>
  <si>
    <t>12 carts rest</t>
  </si>
  <si>
    <t>Arabian tea house</t>
  </si>
  <si>
    <t>Claude Subscription</t>
  </si>
  <si>
    <t>Suscripciones</t>
  </si>
  <si>
    <t>Google gemini</t>
  </si>
  <si>
    <t>Far east seafood</t>
  </si>
  <si>
    <t xml:space="preserve">Oud ad sandal </t>
  </si>
  <si>
    <t>Qasr al reef</t>
  </si>
  <si>
    <t>Lime</t>
  </si>
  <si>
    <t>Transporte</t>
  </si>
  <si>
    <t>Noq zajel courier</t>
  </si>
  <si>
    <t>Tim Hortons</t>
  </si>
  <si>
    <t xml:space="preserve">Lime </t>
  </si>
  <si>
    <t>Kumor rest</t>
  </si>
  <si>
    <t>Valtrasns trans</t>
  </si>
  <si>
    <t xml:space="preserve">Playtomic </t>
  </si>
  <si>
    <t xml:space="preserve">Padel sport academy </t>
  </si>
  <si>
    <t>Digitalñ Dubai</t>
  </si>
  <si>
    <t xml:space="preserve">Salt </t>
  </si>
  <si>
    <t>Digital dubai</t>
  </si>
  <si>
    <t xml:space="preserve">Gelateria romana </t>
  </si>
  <si>
    <t>H&amp;M</t>
  </si>
  <si>
    <t>Al maya super</t>
  </si>
  <si>
    <t>Oriental palace</t>
  </si>
  <si>
    <t xml:space="preserve">Hillhouse braserie </t>
  </si>
  <si>
    <t xml:space="preserve">Crareem </t>
  </si>
  <si>
    <t>Rotana star</t>
  </si>
  <si>
    <t xml:space="preserve">Mvp lab concept </t>
  </si>
  <si>
    <t>Envio dinero</t>
  </si>
  <si>
    <t>Ocio</t>
  </si>
  <si>
    <t>Compras</t>
  </si>
  <si>
    <t>Salud</t>
  </si>
  <si>
    <t>Viajes</t>
  </si>
  <si>
    <t>Santi</t>
  </si>
  <si>
    <t>Bea</t>
  </si>
  <si>
    <t>Personal</t>
  </si>
  <si>
    <t>Regalos</t>
  </si>
  <si>
    <t>Otros</t>
  </si>
  <si>
    <t>RESUMEN POR CATEGORÍA</t>
  </si>
  <si>
    <t>Categoría</t>
  </si>
  <si>
    <t>Nº Gastos</t>
  </si>
  <si>
    <t>Total AED</t>
  </si>
  <si>
    <t>Total EUR</t>
  </si>
  <si>
    <t>TOTAL MES</t>
  </si>
  <si>
    <t>Hogar</t>
  </si>
  <si>
    <t>Delivery</t>
  </si>
  <si>
    <t>Heymondo</t>
  </si>
  <si>
    <t>Heymondo Bea</t>
  </si>
  <si>
    <t>PREVISION GASTOS FIJOS</t>
  </si>
  <si>
    <t>sofa y mesa café</t>
  </si>
  <si>
    <t xml:space="preserve">utensilios cocina </t>
  </si>
  <si>
    <t>lavadora</t>
  </si>
  <si>
    <t>cama y bed sheets</t>
  </si>
  <si>
    <t>toallas</t>
  </si>
  <si>
    <t>colchon</t>
  </si>
  <si>
    <t>ikea sartenes</t>
  </si>
  <si>
    <t>cortinas</t>
  </si>
  <si>
    <t xml:space="preserve">Atmosphere </t>
  </si>
  <si>
    <t>Ikea</t>
  </si>
  <si>
    <t>Loocitane</t>
  </si>
  <si>
    <t>Carrefour</t>
  </si>
  <si>
    <t xml:space="preserve">Noon </t>
  </si>
  <si>
    <t>Patinete rally star</t>
  </si>
  <si>
    <t>UAE Tenis fed</t>
  </si>
  <si>
    <t>Salik optical</t>
  </si>
  <si>
    <t>RTA</t>
  </si>
  <si>
    <t>Markette rest</t>
  </si>
  <si>
    <t>Smart dubai gov</t>
  </si>
  <si>
    <t>Piso 3 meses</t>
  </si>
  <si>
    <t>Global sports</t>
  </si>
  <si>
    <t>KFC Dragon mart</t>
  </si>
  <si>
    <t>Dunkin</t>
  </si>
  <si>
    <t>Be smart tech</t>
  </si>
  <si>
    <t>BSC Boulevard</t>
  </si>
  <si>
    <t>Efectivo Fianza move in</t>
  </si>
  <si>
    <t>Retirada efectivo</t>
  </si>
  <si>
    <t>Whitewill real state</t>
  </si>
  <si>
    <t>lLime</t>
  </si>
  <si>
    <t>GMG Consumer</t>
  </si>
  <si>
    <t>May tai salad</t>
  </si>
  <si>
    <t>Half cup rest</t>
  </si>
  <si>
    <t>Pan emirates</t>
  </si>
  <si>
    <t>nomad italian café</t>
  </si>
  <si>
    <t>carrefour festival city</t>
  </si>
  <si>
    <t>Fmart</t>
  </si>
  <si>
    <t>Estekana café</t>
  </si>
  <si>
    <t>Il forno</t>
  </si>
  <si>
    <t>Careem varios</t>
  </si>
  <si>
    <t>My tai wok</t>
  </si>
  <si>
    <t>Royal gas</t>
  </si>
  <si>
    <t>nicki beach</t>
  </si>
  <si>
    <t>Rotana star rent</t>
  </si>
  <si>
    <t>bsc boulevard</t>
  </si>
  <si>
    <t>yue baby rest</t>
  </si>
  <si>
    <t xml:space="preserve">hippo box </t>
  </si>
  <si>
    <t>mall dubai</t>
  </si>
  <si>
    <t>kings speciality</t>
  </si>
  <si>
    <t>dubai mall</t>
  </si>
  <si>
    <t>carrefour moe</t>
  </si>
  <si>
    <t>fmart</t>
  </si>
  <si>
    <t>fertiitas</t>
  </si>
  <si>
    <t>du jumbo</t>
  </si>
  <si>
    <t>retirada efectivo piso</t>
  </si>
  <si>
    <t>retirada efectivo piso.comis</t>
  </si>
  <si>
    <t>Fecha</t>
  </si>
  <si>
    <t xml:space="preserve">Landmark group </t>
  </si>
  <si>
    <t xml:space="preserve">Careem </t>
  </si>
  <si>
    <t xml:space="preserve">H&amp;M </t>
  </si>
  <si>
    <t>Zara Home</t>
  </si>
  <si>
    <t>Noon Minutes</t>
  </si>
  <si>
    <t>du</t>
  </si>
  <si>
    <t xml:space="preserve">Varios Delivery </t>
  </si>
  <si>
    <t>Dreamz Rent a car</t>
  </si>
  <si>
    <t>Vestido boda Philippa</t>
  </si>
  <si>
    <t xml:space="preserve">Comidas varias </t>
  </si>
  <si>
    <t xml:space="preserve">Careem varios </t>
  </si>
  <si>
    <t>Aeropuert Dubai</t>
  </si>
  <si>
    <t>Estanco pamplona</t>
  </si>
  <si>
    <t>Burger pamplona</t>
  </si>
  <si>
    <t>Viaje zaragoza</t>
  </si>
  <si>
    <t>Google Ai</t>
  </si>
  <si>
    <t>Regalo boda migas</t>
  </si>
  <si>
    <t>Womens secret</t>
  </si>
  <si>
    <t xml:space="preserve">Cars Booking </t>
  </si>
  <si>
    <t xml:space="preserve">The lana high society </t>
  </si>
  <si>
    <t xml:space="preserve">Nanan zishang </t>
  </si>
  <si>
    <t xml:space="preserve">Orient center </t>
  </si>
  <si>
    <t xml:space="preserve">Pullman couqley </t>
  </si>
  <si>
    <t xml:space="preserve">Majid al futtaim </t>
  </si>
  <si>
    <t>Alquiler piso</t>
  </si>
  <si>
    <t>Mudanza</t>
  </si>
  <si>
    <t>Tasas</t>
  </si>
  <si>
    <t>Suministros piso</t>
  </si>
  <si>
    <t>Compra mes</t>
  </si>
  <si>
    <t xml:space="preserve">noon </t>
  </si>
  <si>
    <t>emira cent.cooling</t>
  </si>
  <si>
    <t>careem quick</t>
  </si>
  <si>
    <t>emirates</t>
  </si>
  <si>
    <t>careem ride</t>
  </si>
  <si>
    <t>Ergon agora rest</t>
  </si>
  <si>
    <t>the groom uñas</t>
  </si>
  <si>
    <t>careem</t>
  </si>
  <si>
    <t>yaldi udrive</t>
  </si>
  <si>
    <t xml:space="preserve">careem </t>
  </si>
  <si>
    <t>ons jabeur</t>
  </si>
  <si>
    <t>ons jabeur torneo</t>
  </si>
  <si>
    <t>global sports</t>
  </si>
  <si>
    <t>noon</t>
  </si>
  <si>
    <t>asics</t>
  </si>
  <si>
    <t>playtomic</t>
  </si>
  <si>
    <t>yahya seafood</t>
  </si>
  <si>
    <t>irish vicker</t>
  </si>
  <si>
    <t>the lounge</t>
  </si>
  <si>
    <t>arabia taxi</t>
  </si>
  <si>
    <t>pullman down</t>
  </si>
  <si>
    <t xml:space="preserve">udrive rent </t>
  </si>
  <si>
    <t>city max hotel</t>
  </si>
  <si>
    <t>black white groc</t>
  </si>
  <si>
    <t>royal develop</t>
  </si>
  <si>
    <t>noqodi online</t>
  </si>
  <si>
    <t>talabat</t>
  </si>
  <si>
    <t>lime</t>
  </si>
  <si>
    <t>african estearn</t>
  </si>
  <si>
    <t>isd padel</t>
  </si>
  <si>
    <t>la fragola café</t>
  </si>
  <si>
    <t>first track govern</t>
  </si>
  <si>
    <t>amer</t>
  </si>
  <si>
    <t>apple</t>
  </si>
  <si>
    <t>padel edit</t>
  </si>
  <si>
    <t>linkedin</t>
  </si>
  <si>
    <t>the lounge dub</t>
  </si>
  <si>
    <t>cars taxi</t>
  </si>
  <si>
    <t>jo care</t>
  </si>
  <si>
    <t>tashas</t>
  </si>
  <si>
    <t>renfe</t>
  </si>
  <si>
    <t>Nola</t>
  </si>
  <si>
    <t>isd cat</t>
  </si>
  <si>
    <t>better mind bus</t>
  </si>
  <si>
    <t>care well care</t>
  </si>
  <si>
    <t>INGRESOS MENSUALES</t>
  </si>
  <si>
    <t>Salario Santi</t>
  </si>
  <si>
    <t>Salario Bea</t>
  </si>
  <si>
    <t>Ingresos extra</t>
  </si>
  <si>
    <t>BALANCE (Ingreso - Gasto)</t>
  </si>
  <si>
    <t>seguro españa</t>
  </si>
  <si>
    <t>intereses ibercaja</t>
  </si>
  <si>
    <t>google one</t>
  </si>
  <si>
    <t>avis alquiler</t>
  </si>
  <si>
    <t>metro madrid</t>
  </si>
  <si>
    <t>desayuno</t>
  </si>
  <si>
    <t>comida</t>
  </si>
  <si>
    <t>zara</t>
  </si>
  <si>
    <t>natura</t>
  </si>
  <si>
    <t>zara home</t>
  </si>
  <si>
    <t>primor</t>
  </si>
  <si>
    <t>mercadona</t>
  </si>
  <si>
    <t>bluebanan</t>
  </si>
  <si>
    <t>heymondo</t>
  </si>
  <si>
    <t>recarga movil</t>
  </si>
  <si>
    <t>dominio web</t>
  </si>
  <si>
    <t>ahorrado este mes a 24 jun</t>
  </si>
  <si>
    <t>ahorrado real con piso pagado</t>
  </si>
  <si>
    <t>alquiler mes</t>
  </si>
  <si>
    <t>lo que tenemos en cuentas</t>
  </si>
  <si>
    <t>eroski</t>
  </si>
  <si>
    <t>bizum</t>
  </si>
  <si>
    <t>dni</t>
  </si>
  <si>
    <t>ropa</t>
  </si>
  <si>
    <t>scalpers</t>
  </si>
  <si>
    <t>little dragon</t>
  </si>
  <si>
    <t>kaotico rest</t>
  </si>
  <si>
    <t>claude suscr</t>
  </si>
  <si>
    <t>rest dolce</t>
  </si>
  <si>
    <t>cortefiel</t>
  </si>
  <si>
    <t>women secret</t>
  </si>
  <si>
    <t>peajes</t>
  </si>
  <si>
    <t xml:space="preserve">farmacia </t>
  </si>
  <si>
    <t>la boiga desp</t>
  </si>
  <si>
    <t xml:space="preserve">fertilitas </t>
  </si>
  <si>
    <t>gasolina</t>
  </si>
  <si>
    <t>azahara</t>
  </si>
  <si>
    <t>srta tarta</t>
  </si>
  <si>
    <t>alcampo vaguada</t>
  </si>
  <si>
    <t>rias bajas</t>
  </si>
  <si>
    <t>aeropuerto</t>
  </si>
  <si>
    <t>alquiler</t>
  </si>
  <si>
    <t>cena basta</t>
  </si>
  <si>
    <t>optivision gafas</t>
  </si>
  <si>
    <t>ADNOC BUSINESS BAY</t>
  </si>
  <si>
    <t>CAREEM QUIK</t>
  </si>
  <si>
    <t>CAREEM DELIVERIES RH</t>
  </si>
  <si>
    <t>EATALY</t>
  </si>
  <si>
    <t>PAN EMIRATES DFC</t>
  </si>
  <si>
    <t>CAREEM SHOPS</t>
  </si>
  <si>
    <t>DU Apple Pay</t>
  </si>
  <si>
    <t>IKEA DFC ALFUTTAIM</t>
  </si>
  <si>
    <t>HALF CUP RESTAURANT</t>
  </si>
  <si>
    <t>BSC Dubai Penisula</t>
  </si>
  <si>
    <t>H AND M ALSHAYA</t>
  </si>
  <si>
    <t>LIME*3 VIAJES</t>
  </si>
  <si>
    <t>LIME*2 VIAJES</t>
  </si>
  <si>
    <t>Dott</t>
  </si>
  <si>
    <t>PULLMAN DOWNTOWN</t>
  </si>
  <si>
    <t>Steam Purchase</t>
  </si>
  <si>
    <t>LIME*4 VIAJES</t>
  </si>
  <si>
    <t>LIME*5 VIAJES</t>
  </si>
  <si>
    <t>CAREEM HALA</t>
  </si>
  <si>
    <t>CAREEM FOOD</t>
  </si>
  <si>
    <t>LIME*VIAJE</t>
  </si>
  <si>
    <t>ARABIA TAXI</t>
  </si>
  <si>
    <t>CAREEM RIDE</t>
  </si>
  <si>
    <t>STARBUCKS DXB</t>
  </si>
  <si>
    <t>DUBAI DUTY FREE</t>
  </si>
  <si>
    <t>CARREFOUR FESTIVAL CIT</t>
  </si>
  <si>
    <t>AFRICAN AND EASTERN</t>
  </si>
  <si>
    <t>talabat.com</t>
  </si>
  <si>
    <t>RALLY STAR GENERAL TRA</t>
  </si>
  <si>
    <t>CAREEM DELIVERIES QUIK</t>
  </si>
  <si>
    <t>Smart Dubai Government</t>
  </si>
  <si>
    <t>APPLE.COM/BILL</t>
  </si>
  <si>
    <t>noon.com</t>
  </si>
  <si>
    <t>CAREEM PLUS</t>
  </si>
  <si>
    <t>DUBAI TAXI</t>
  </si>
  <si>
    <t>revolut 1jul</t>
  </si>
  <si>
    <t>tayta inti</t>
  </si>
  <si>
    <t>stradivarius</t>
  </si>
  <si>
    <t>bershka</t>
  </si>
  <si>
    <t>tabacos</t>
  </si>
  <si>
    <t>13 jul revol</t>
  </si>
  <si>
    <t xml:space="preserve">FARMACIA </t>
  </si>
  <si>
    <t xml:space="preserve">ecografia </t>
  </si>
  <si>
    <t>taxis ecogr</t>
  </si>
  <si>
    <t>florees carlota</t>
  </si>
  <si>
    <t>regalo carlota</t>
  </si>
  <si>
    <t>desayuno viaje</t>
  </si>
  <si>
    <t>collar</t>
  </si>
  <si>
    <t>taxi boda</t>
  </si>
  <si>
    <t>vermut zgza</t>
  </si>
  <si>
    <t>taxi aeropuerto</t>
  </si>
  <si>
    <t>bolt</t>
  </si>
  <si>
    <t>kiko maquillaje</t>
  </si>
  <si>
    <t>enrique tomas</t>
  </si>
  <si>
    <t>datos moviles</t>
  </si>
  <si>
    <t>cervezas</t>
  </si>
  <si>
    <t>metro</t>
  </si>
  <si>
    <t>mango</t>
  </si>
  <si>
    <t>pop up</t>
  </si>
  <si>
    <t>comida dia</t>
  </si>
  <si>
    <t>taxi</t>
  </si>
  <si>
    <t>peluqueria</t>
  </si>
  <si>
    <t>fan cuadros</t>
  </si>
  <si>
    <t>aceite marta</t>
  </si>
  <si>
    <t>vitaminas</t>
  </si>
  <si>
    <t>cena amigas</t>
  </si>
  <si>
    <t xml:space="preserve">desayuno </t>
  </si>
  <si>
    <t>mdeiamarkt</t>
  </si>
  <si>
    <t>comida aeropuerto</t>
  </si>
  <si>
    <t>chicles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</si>
</sst>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dh]#,##0"/>
    <numFmt numFmtId="165" formatCode="#,##0\ \€"/>
    <numFmt numFmtId="166" formatCode="0.00\ &quot;€&quot;"/>
    <numFmt numFmtId="167" formatCode="[$dh]#,##0.00;[$dh]\-#,##0.00;&quot;&quot;"/>
    <numFmt numFmtId="168" formatCode="#,##0.00\ \€;\-#,##0.00\ \€;&quot;&quot;"/>
    <numFmt numFmtId="169" formatCode="[$dh]#,##0;[$dh]\-#,##0;\-"/>
    <numFmt numFmtId="170" formatCode="#,##0\ \€;\-#,##0\ \€;\-"/>
    <numFmt numFmtId="171" formatCode="#,##0.00\ &quot;€&quot;"/>
    <numFmt numFmtId="172" formatCode="#,##0.00\ [$DH-380C];\-#,##0.00\ [$DH-380C]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6"/>
      <color rgb="FF1F497D"/>
      <name val="Arial"/>
      <scheme val="minor"/>
    </font>
    <font>
      <b/>
      <sz val="11"/>
      <color rgb="FFFFFFFF"/>
      <name val="Arial"/>
      <scheme val="minor"/>
    </font>
    <font>
      <sz val="9"/>
      <color rgb="FF999999"/>
      <name val="Arial"/>
      <scheme val="minor"/>
    </font>
    <font>
      <b/>
      <sz val="10"/>
      <color rgb="FF000000"/>
      <name val="Arial"/>
      <scheme val="minor"/>
    </font>
    <font>
      <b/>
      <sz val="10"/>
      <color rgb="FF34A853"/>
      <name val="Arial"/>
      <scheme val="minor"/>
    </font>
    <font>
      <b/>
      <sz val="9"/>
      <color rgb="FF000000"/>
      <name val="Arial"/>
      <scheme val="minor"/>
    </font>
    <font>
      <sz val="10"/>
      <color rgb="FFCC0000"/>
      <name val="Arial"/>
      <scheme val="minor"/>
    </font>
    <font>
      <b/>
      <sz val="10"/>
      <color rgb="FFCC0000"/>
      <name val="Arial"/>
      <scheme val="minor"/>
    </font>
    <font>
      <sz val="10"/>
      <color rgb="FF4285F4"/>
      <name val="Arial"/>
      <scheme val="minor"/>
    </font>
    <font>
      <sz val="10"/>
      <color rgb="FF0000FF"/>
      <name val="Arial"/>
      <scheme val="minor"/>
    </font>
    <font>
      <b/>
      <sz val="10"/>
      <color rgb="FF4285F4"/>
      <name val="Arial"/>
      <scheme val="minor"/>
    </font>
    <font>
      <b/>
      <sz val="10"/>
      <color rgb="FFFFFFFF"/>
      <name val="Arial"/>
      <scheme val="minor"/>
    </font>
    <font>
      <b/>
      <sz val="10"/>
      <color rgb="FFE69138"/>
      <name val="Arial"/>
      <scheme val="minor"/>
    </font>
    <font>
      <b/>
      <sz val="10"/>
      <color rgb="FF953734"/>
      <name val="Arial"/>
      <scheme val="minor"/>
    </font>
    <font>
      <b/>
      <sz val="9"/>
      <color rgb="FF999999"/>
      <name val="Arial"/>
      <scheme val="minor"/>
    </font>
    <font>
      <b/>
      <sz val="9"/>
      <color rgb="FF0000FF"/>
      <name val="Arial"/>
      <scheme val="minor"/>
    </font>
    <font>
      <sz val="10"/>
      <color rgb="FF008000"/>
      <name val="Arial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5ABB3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F4A236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953734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5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953734"/>
      </left>
      <right/>
      <top/>
      <bottom/>
      <diagonal/>
    </border>
    <border>
      <left style="thin">
        <color rgb="FF953734"/>
      </left>
      <right/>
      <top/>
      <bottom style="thin">
        <color rgb="FF000000"/>
      </bottom>
      <diagonal/>
    </border>
    <border>
      <left style="thin">
        <color rgb="FF953734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</cellStyleXfs>
  <cellXfs count="111">
    <xf numFmtId="0" fontId="0" fillId="0" borderId="0" xfId="0"/>
    <xf numFmtId="0" fontId="0" fillId="3" borderId="0" xfId="0" applyFill="1"/>
    <xf numFmtId="0" fontId="4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7" fillId="5" borderId="0" xfId="0" applyFont="1" applyFill="1" applyAlignment="1">
      <alignment horizontal="center"/>
    </xf>
    <xf numFmtId="164" fontId="0" fillId="0" borderId="0" xfId="0" applyNumberFormat="1" applyAlignment="1">
      <alignment horizontal="right"/>
    </xf>
    <xf numFmtId="0" fontId="0" fillId="6" borderId="0" xfId="0" applyFill="1"/>
    <xf numFmtId="164" fontId="0" fillId="6" borderId="0" xfId="0" applyNumberFormat="1" applyFill="1" applyAlignment="1">
      <alignment horizontal="right"/>
    </xf>
    <xf numFmtId="0" fontId="8" fillId="0" borderId="0" xfId="0" applyFont="1"/>
    <xf numFmtId="0" fontId="0" fillId="8" borderId="0" xfId="0" applyFill="1"/>
    <xf numFmtId="164" fontId="5" fillId="8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0" fontId="10" fillId="0" borderId="0" xfId="0" applyFont="1"/>
    <xf numFmtId="164" fontId="10" fillId="0" borderId="0" xfId="0" applyNumberFormat="1" applyFont="1" applyAlignment="1">
      <alignment horizontal="right"/>
    </xf>
    <xf numFmtId="0" fontId="2" fillId="0" borderId="0" xfId="0" applyFont="1"/>
    <xf numFmtId="0" fontId="6" fillId="3" borderId="1" xfId="0" applyFont="1" applyFill="1" applyBorder="1"/>
    <xf numFmtId="0" fontId="0" fillId="3" borderId="1" xfId="0" applyFill="1" applyBorder="1"/>
    <xf numFmtId="164" fontId="6" fillId="3" borderId="1" xfId="0" applyNumberFormat="1" applyFont="1" applyFill="1" applyBorder="1" applyAlignment="1">
      <alignment horizontal="right"/>
    </xf>
    <xf numFmtId="0" fontId="9" fillId="5" borderId="1" xfId="0" applyFont="1" applyFill="1" applyBorder="1"/>
    <xf numFmtId="164" fontId="9" fillId="5" borderId="1" xfId="0" applyNumberFormat="1" applyFont="1" applyFill="1" applyBorder="1" applyAlignment="1">
      <alignment horizontal="right"/>
    </xf>
    <xf numFmtId="0" fontId="6" fillId="3" borderId="2" xfId="0" quotePrefix="1" applyFont="1" applyFill="1" applyBorder="1"/>
    <xf numFmtId="164" fontId="6" fillId="3" borderId="2" xfId="0" applyNumberFormat="1" applyFont="1" applyFill="1" applyBorder="1" applyAlignment="1">
      <alignment horizontal="right"/>
    </xf>
    <xf numFmtId="0" fontId="7" fillId="8" borderId="0" xfId="0" applyFont="1" applyFill="1" applyAlignment="1">
      <alignment horizontal="center"/>
    </xf>
    <xf numFmtId="164" fontId="11" fillId="0" borderId="0" xfId="0" applyNumberFormat="1" applyFont="1" applyAlignment="1">
      <alignment horizontal="right"/>
    </xf>
    <xf numFmtId="0" fontId="0" fillId="10" borderId="0" xfId="0" applyFill="1"/>
    <xf numFmtId="164" fontId="11" fillId="10" borderId="0" xfId="0" applyNumberFormat="1" applyFont="1" applyFill="1" applyAlignment="1">
      <alignment horizontal="right"/>
    </xf>
    <xf numFmtId="164" fontId="0" fillId="10" borderId="0" xfId="0" applyNumberFormat="1" applyFill="1" applyAlignment="1">
      <alignment horizontal="right"/>
    </xf>
    <xf numFmtId="0" fontId="7" fillId="6" borderId="0" xfId="0" applyFont="1" applyFill="1" applyAlignment="1">
      <alignment horizontal="center"/>
    </xf>
    <xf numFmtId="0" fontId="12" fillId="8" borderId="1" xfId="0" applyFont="1" applyFill="1" applyBorder="1"/>
    <xf numFmtId="0" fontId="0" fillId="8" borderId="1" xfId="0" applyFill="1" applyBorder="1"/>
    <xf numFmtId="164" fontId="12" fillId="8" borderId="1" xfId="0" applyNumberFormat="1" applyFont="1" applyFill="1" applyBorder="1" applyAlignment="1">
      <alignment horizontal="right"/>
    </xf>
    <xf numFmtId="0" fontId="14" fillId="6" borderId="1" xfId="0" applyFont="1" applyFill="1" applyBorder="1"/>
    <xf numFmtId="0" fontId="0" fillId="6" borderId="1" xfId="0" applyFill="1" applyBorder="1"/>
    <xf numFmtId="164" fontId="14" fillId="6" borderId="1" xfId="0" applyNumberFormat="1" applyFont="1" applyFill="1" applyBorder="1" applyAlignment="1">
      <alignment horizontal="right"/>
    </xf>
    <xf numFmtId="0" fontId="7" fillId="14" borderId="0" xfId="0" applyFont="1" applyFill="1" applyAlignment="1">
      <alignment horizontal="center"/>
    </xf>
    <xf numFmtId="165" fontId="0" fillId="0" borderId="0" xfId="0" applyNumberFormat="1" applyAlignment="1">
      <alignment horizontal="right"/>
    </xf>
    <xf numFmtId="165" fontId="0" fillId="8" borderId="0" xfId="0" applyNumberFormat="1" applyFill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165" fontId="0" fillId="6" borderId="0" xfId="0" applyNumberFormat="1" applyFill="1" applyAlignment="1">
      <alignment horizontal="right"/>
    </xf>
    <xf numFmtId="165" fontId="9" fillId="5" borderId="1" xfId="0" applyNumberFormat="1" applyFont="1" applyFill="1" applyBorder="1" applyAlignment="1">
      <alignment horizontal="right"/>
    </xf>
    <xf numFmtId="166" fontId="17" fillId="0" borderId="0" xfId="0" applyNumberFormat="1" applyFont="1"/>
    <xf numFmtId="165" fontId="0" fillId="10" borderId="0" xfId="0" applyNumberFormat="1" applyFill="1" applyAlignment="1">
      <alignment horizontal="right"/>
    </xf>
    <xf numFmtId="165" fontId="12" fillId="8" borderId="1" xfId="0" applyNumberFormat="1" applyFont="1" applyFill="1" applyBorder="1" applyAlignment="1">
      <alignment horizontal="right"/>
    </xf>
    <xf numFmtId="165" fontId="14" fillId="6" borderId="1" xfId="0" applyNumberFormat="1" applyFont="1" applyFill="1" applyBorder="1" applyAlignment="1">
      <alignment horizontal="right"/>
    </xf>
    <xf numFmtId="164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/>
    <xf numFmtId="0" fontId="0" fillId="5" borderId="3" xfId="0" applyFill="1" applyBorder="1"/>
    <xf numFmtId="165" fontId="5" fillId="5" borderId="3" xfId="0" applyNumberFormat="1" applyFont="1" applyFill="1" applyBorder="1" applyAlignment="1">
      <alignment horizontal="right"/>
    </xf>
    <xf numFmtId="0" fontId="15" fillId="14" borderId="4" xfId="0" applyFont="1" applyFill="1" applyBorder="1"/>
    <xf numFmtId="0" fontId="0" fillId="14" borderId="4" xfId="0" applyFill="1" applyBorder="1"/>
    <xf numFmtId="164" fontId="15" fillId="14" borderId="4" xfId="0" applyNumberFormat="1" applyFont="1" applyFill="1" applyBorder="1" applyAlignment="1">
      <alignment horizontal="right"/>
    </xf>
    <xf numFmtId="165" fontId="15" fillId="14" borderId="4" xfId="0" applyNumberFormat="1" applyFont="1" applyFill="1" applyBorder="1" applyAlignment="1">
      <alignment horizontal="right"/>
    </xf>
    <xf numFmtId="0" fontId="7" fillId="14" borderId="5" xfId="0" applyFont="1" applyFill="1" applyBorder="1" applyAlignment="1">
      <alignment horizontal="center"/>
    </xf>
    <xf numFmtId="0" fontId="0" fillId="0" borderId="5" xfId="0" applyBorder="1"/>
    <xf numFmtId="0" fontId="0" fillId="5" borderId="7" xfId="0" applyFill="1" applyBorder="1"/>
    <xf numFmtId="0" fontId="0" fillId="14" borderId="6" xfId="0" applyFill="1" applyBorder="1"/>
    <xf numFmtId="0" fontId="15" fillId="14" borderId="8" xfId="0" applyFont="1" applyFill="1" applyBorder="1"/>
    <xf numFmtId="164" fontId="15" fillId="14" borderId="8" xfId="0" applyNumberFormat="1" applyFont="1" applyFill="1" applyBorder="1" applyAlignment="1">
      <alignment horizontal="right"/>
    </xf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0" fillId="12" borderId="0" xfId="0" applyFill="1"/>
    <xf numFmtId="0" fontId="0" fillId="12" borderId="0" xfId="0" applyFill="1" applyAlignment="1">
      <alignment horizontal="center"/>
    </xf>
    <xf numFmtId="169" fontId="0" fillId="12" borderId="0" xfId="0" applyNumberFormat="1" applyFill="1" applyAlignment="1">
      <alignment horizontal="right"/>
    </xf>
    <xf numFmtId="170" fontId="0" fillId="12" borderId="0" xfId="0" applyNumberFormat="1" applyFill="1" applyAlignment="1">
      <alignment horizontal="right"/>
    </xf>
    <xf numFmtId="0" fontId="15" fillId="14" borderId="8" xfId="0" applyFont="1" applyFill="1" applyBorder="1" applyAlignment="1">
      <alignment horizontal="center"/>
    </xf>
    <xf numFmtId="165" fontId="15" fillId="14" borderId="8" xfId="0" applyNumberFormat="1" applyFont="1" applyFill="1" applyBorder="1" applyAlignment="1">
      <alignment horizontal="right"/>
    </xf>
    <xf numFmtId="0" fontId="0" fillId="0" borderId="0" xfId="0" quotePrefix="1"/>
    <xf numFmtId="0" fontId="15" fillId="5" borderId="0" xfId="0" applyFont="1" applyFill="1" applyAlignment="1">
      <alignment horizontal="center"/>
    </xf>
    <xf numFmtId="0" fontId="1" fillId="15" borderId="5" xfId="1" applyBorder="1"/>
    <xf numFmtId="0" fontId="1" fillId="15" borderId="0" xfId="1"/>
    <xf numFmtId="167" fontId="1" fillId="15" borderId="0" xfId="1" applyNumberFormat="1"/>
    <xf numFmtId="168" fontId="1" fillId="15" borderId="0" xfId="1" applyNumberFormat="1"/>
    <xf numFmtId="0" fontId="3" fillId="13" borderId="0" xfId="0" applyFont="1" applyFill="1" applyAlignment="1">
      <alignment horizontal="center"/>
    </xf>
    <xf numFmtId="14" fontId="0" fillId="0" borderId="0" xfId="0" applyNumberFormat="1"/>
    <xf numFmtId="14" fontId="1" fillId="15" borderId="0" xfId="1" applyNumberFormat="1"/>
    <xf numFmtId="14" fontId="5" fillId="5" borderId="3" xfId="0" applyNumberFormat="1" applyFont="1" applyFill="1" applyBorder="1" applyAlignment="1">
      <alignment horizontal="right"/>
    </xf>
    <xf numFmtId="14" fontId="15" fillId="14" borderId="4" xfId="0" applyNumberFormat="1" applyFont="1" applyFill="1" applyBorder="1" applyAlignment="1">
      <alignment horizontal="right"/>
    </xf>
    <xf numFmtId="0" fontId="0" fillId="16" borderId="0" xfId="0" applyFill="1"/>
    <xf numFmtId="0" fontId="0" fillId="16" borderId="0" xfId="0" applyFill="1" applyAlignment="1">
      <alignment horizontal="center"/>
    </xf>
    <xf numFmtId="169" fontId="0" fillId="16" borderId="0" xfId="0" applyNumberFormat="1" applyFill="1" applyAlignment="1">
      <alignment horizontal="right"/>
    </xf>
    <xf numFmtId="165" fontId="0" fillId="0" borderId="0" xfId="0" applyNumberFormat="1"/>
    <xf numFmtId="0" fontId="7" fillId="3" borderId="0" xfId="0" applyFont="1" applyFill="1" applyAlignment="1">
      <alignment horizontal="center"/>
    </xf>
    <xf numFmtId="164" fontId="18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5" fillId="8" borderId="1" xfId="0" applyFont="1" applyFill="1" applyBorder="1"/>
    <xf numFmtId="164" fontId="5" fillId="8" borderId="1" xfId="0" applyNumberFormat="1" applyFont="1" applyFill="1" applyBorder="1" applyAlignment="1">
      <alignment horizontal="right"/>
    </xf>
    <xf numFmtId="165" fontId="5" fillId="8" borderId="1" xfId="0" applyNumberFormat="1" applyFont="1" applyFill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71" fontId="19" fillId="17" borderId="0" xfId="2" applyNumberFormat="1"/>
    <xf numFmtId="0" fontId="20" fillId="0" borderId="5" xfId="0" applyFont="1" applyBorder="1"/>
    <xf numFmtId="171" fontId="0" fillId="0" borderId="0" xfId="0" applyNumberFormat="1"/>
    <xf numFmtId="0" fontId="3" fillId="13" borderId="0" xfId="0" applyFont="1" applyFill="1" applyAlignment="1">
      <alignment horizontal="center"/>
    </xf>
    <xf numFmtId="0" fontId="3" fillId="2" borderId="0" xfId="0" applyFont="1" applyFill="1"/>
    <xf numFmtId="0" fontId="2" fillId="0" borderId="0" xfId="0" applyFont="1"/>
    <xf numFmtId="0" fontId="16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72" fontId="0" fillId="0" borderId="0" xfId="0" applyNumberFormat="1"/>
    <xf numFmtId="170" fontId="0" fillId="0" borderId="0" xfId="0" applyNumberFormat="1"/>
  </cellXfs>
  <cellStyles count="3">
    <cellStyle name="40% - Énfasis2" xfId="1" builtinId="35"/>
    <cellStyle name="Énfasis2" xfId="2" builtinId="33"/>
    <cellStyle name="Normal" xfId="0" builtinId="0"/>
  </cellStyles>
  <dxfs count="12"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  <dxf>
      <font>
        <color rgb="FFCC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415848-30DB-4153-AFF6-B4A14B39E67F}">
  <we:reference id="WA200009404" version="1.0.0.5" store="Omex" storeType="OMEX"/>
  <we:alternateReferences>
    <we:reference id="WA200009404" version="1.0.0.5" store="WA200009404" storeType="OMEX"/>
  </we:alternateReferences>
  <we:properties>
    <we:property name="claude.fileId" value="&quot;dd0922ec-346a-49d9-b787-929bc543c8a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1C99-634B-4B5C-8943-565D2AE7AAB3}">
  <dimension ref="A1:D48"/>
  <sheetViews>
    <sheetView workbookViewId="0">
      <selection activeCell="C48" sqref="C48"/>
    </sheetView>
  </sheetViews>
  <sheetFormatPr baseColWidth="10" defaultRowHeight="12.5" x14ac:dyDescent="0.25"/>
  <cols>
    <col min="1" max="1" width="33" bestFit="1" customWidth="1"/>
    <col min="2" max="2" width="18.1796875" customWidth="1"/>
    <col min="3" max="3" width="16.36328125" customWidth="1"/>
  </cols>
  <sheetData>
    <row r="1" spans="1:4" ht="20" x14ac:dyDescent="0.4">
      <c r="A1" s="101" t="s">
        <v>20</v>
      </c>
      <c r="B1" s="101"/>
      <c r="C1" s="102"/>
      <c r="D1" s="44">
        <v>0.24</v>
      </c>
    </row>
    <row r="3" spans="1:4" ht="14" x14ac:dyDescent="0.3">
      <c r="A3" s="103" t="s">
        <v>21</v>
      </c>
      <c r="B3" s="103"/>
      <c r="C3" s="103"/>
    </row>
    <row r="4" spans="1:4" ht="13" x14ac:dyDescent="0.3">
      <c r="A4" s="1" t="s">
        <v>0</v>
      </c>
      <c r="B4" s="2" t="s">
        <v>1</v>
      </c>
      <c r="C4" s="3">
        <v>25000</v>
      </c>
    </row>
    <row r="5" spans="1:4" ht="13" x14ac:dyDescent="0.3">
      <c r="A5" t="s">
        <v>2</v>
      </c>
      <c r="B5" s="4" t="s">
        <v>1</v>
      </c>
      <c r="C5" s="5">
        <v>5000</v>
      </c>
    </row>
    <row r="6" spans="1:4" ht="13" x14ac:dyDescent="0.3">
      <c r="A6" t="s">
        <v>22</v>
      </c>
      <c r="B6" s="4" t="s">
        <v>1</v>
      </c>
      <c r="C6" s="5">
        <v>1800</v>
      </c>
    </row>
    <row r="7" spans="1:4" ht="13" x14ac:dyDescent="0.3">
      <c r="A7" s="17" t="s">
        <v>23</v>
      </c>
      <c r="B7" s="18"/>
      <c r="C7" s="19">
        <f>SUM(C4:C6)</f>
        <v>31800</v>
      </c>
    </row>
    <row r="9" spans="1:4" ht="14" x14ac:dyDescent="0.3">
      <c r="A9" s="104" t="s">
        <v>148</v>
      </c>
      <c r="B9" s="104"/>
      <c r="C9" s="104"/>
    </row>
    <row r="10" spans="1:4" x14ac:dyDescent="0.25">
      <c r="A10" s="6" t="s">
        <v>24</v>
      </c>
      <c r="B10" s="6" t="s">
        <v>1</v>
      </c>
      <c r="C10" s="6" t="s">
        <v>6</v>
      </c>
    </row>
    <row r="11" spans="1:4" x14ac:dyDescent="0.25">
      <c r="A11" t="s">
        <v>9</v>
      </c>
      <c r="B11" s="7">
        <v>8000</v>
      </c>
      <c r="C11" s="37">
        <f t="shared" ref="C11:C25" si="0">B11*$D$1</f>
        <v>1920</v>
      </c>
    </row>
    <row r="12" spans="1:4" x14ac:dyDescent="0.25">
      <c r="A12" s="8" t="s">
        <v>8</v>
      </c>
      <c r="B12" s="9">
        <v>2800</v>
      </c>
      <c r="C12" s="42">
        <f t="shared" si="0"/>
        <v>672</v>
      </c>
    </row>
    <row r="13" spans="1:4" x14ac:dyDescent="0.25">
      <c r="A13" t="s">
        <v>25</v>
      </c>
      <c r="B13" s="7">
        <v>2150</v>
      </c>
      <c r="C13" s="37">
        <f t="shared" si="0"/>
        <v>516</v>
      </c>
    </row>
    <row r="14" spans="1:4" x14ac:dyDescent="0.25">
      <c r="A14" s="8" t="s">
        <v>26</v>
      </c>
      <c r="B14" s="9">
        <v>1200</v>
      </c>
      <c r="C14" s="42">
        <f t="shared" si="0"/>
        <v>288</v>
      </c>
    </row>
    <row r="15" spans="1:4" x14ac:dyDescent="0.25">
      <c r="A15" t="s">
        <v>27</v>
      </c>
      <c r="B15" s="7">
        <v>1000</v>
      </c>
      <c r="C15" s="37">
        <f t="shared" si="0"/>
        <v>240</v>
      </c>
    </row>
    <row r="16" spans="1:4" x14ac:dyDescent="0.25">
      <c r="A16" s="8" t="s">
        <v>17</v>
      </c>
      <c r="B16" s="9">
        <v>750</v>
      </c>
      <c r="C16" s="42">
        <f t="shared" si="0"/>
        <v>180</v>
      </c>
    </row>
    <row r="17" spans="1:3" x14ac:dyDescent="0.25">
      <c r="A17" t="s">
        <v>19</v>
      </c>
      <c r="B17" s="7">
        <v>500</v>
      </c>
      <c r="C17" s="37">
        <f t="shared" si="0"/>
        <v>120</v>
      </c>
    </row>
    <row r="18" spans="1:3" x14ac:dyDescent="0.25">
      <c r="A18" s="8" t="s">
        <v>4</v>
      </c>
      <c r="B18" s="9">
        <v>0</v>
      </c>
      <c r="C18" s="42">
        <f t="shared" si="0"/>
        <v>0</v>
      </c>
    </row>
    <row r="19" spans="1:3" x14ac:dyDescent="0.25">
      <c r="A19" t="s">
        <v>28</v>
      </c>
      <c r="B19" s="7">
        <v>320</v>
      </c>
      <c r="C19" s="37">
        <f t="shared" si="0"/>
        <v>76.8</v>
      </c>
    </row>
    <row r="20" spans="1:3" x14ac:dyDescent="0.25">
      <c r="A20" s="8" t="s">
        <v>29</v>
      </c>
      <c r="B20" s="9">
        <v>400</v>
      </c>
      <c r="C20" s="42">
        <f t="shared" si="0"/>
        <v>96</v>
      </c>
    </row>
    <row r="21" spans="1:3" x14ac:dyDescent="0.25">
      <c r="A21" t="s">
        <v>11</v>
      </c>
      <c r="B21" s="7">
        <v>300</v>
      </c>
      <c r="C21" s="37">
        <f t="shared" si="0"/>
        <v>72</v>
      </c>
    </row>
    <row r="22" spans="1:3" x14ac:dyDescent="0.25">
      <c r="A22" s="8" t="s">
        <v>18</v>
      </c>
      <c r="B22" s="9">
        <v>200</v>
      </c>
      <c r="C22" s="42">
        <f t="shared" si="0"/>
        <v>48</v>
      </c>
    </row>
    <row r="23" spans="1:3" x14ac:dyDescent="0.25">
      <c r="A23" t="s">
        <v>7</v>
      </c>
      <c r="B23" s="7">
        <v>200</v>
      </c>
      <c r="C23" s="37">
        <f t="shared" si="0"/>
        <v>48</v>
      </c>
    </row>
    <row r="24" spans="1:3" x14ac:dyDescent="0.25">
      <c r="A24" s="8" t="s">
        <v>30</v>
      </c>
      <c r="B24" s="9">
        <v>100</v>
      </c>
      <c r="C24" s="42">
        <f t="shared" si="0"/>
        <v>24</v>
      </c>
    </row>
    <row r="25" spans="1:3" x14ac:dyDescent="0.25">
      <c r="A25" t="s">
        <v>5</v>
      </c>
      <c r="B25" s="7">
        <v>100</v>
      </c>
      <c r="C25" s="37">
        <f t="shared" si="0"/>
        <v>24</v>
      </c>
    </row>
    <row r="26" spans="1:3" ht="13" x14ac:dyDescent="0.3">
      <c r="A26" s="20" t="s">
        <v>31</v>
      </c>
      <c r="B26" s="21">
        <f>SUM(B11:B25)</f>
        <v>18020</v>
      </c>
      <c r="C26" s="43">
        <f>SUM(C11:C25)</f>
        <v>4324.8</v>
      </c>
    </row>
    <row r="28" spans="1:3" ht="14" x14ac:dyDescent="0.3">
      <c r="A28" s="105" t="s">
        <v>32</v>
      </c>
      <c r="B28" s="105"/>
      <c r="C28" s="105"/>
    </row>
    <row r="29" spans="1:3" ht="13" x14ac:dyDescent="0.3">
      <c r="A29" s="11" t="s">
        <v>33</v>
      </c>
      <c r="B29" s="12">
        <f>C7</f>
        <v>31800</v>
      </c>
      <c r="C29" s="38">
        <f>B29*$D$1</f>
        <v>7632</v>
      </c>
    </row>
    <row r="30" spans="1:3" x14ac:dyDescent="0.25">
      <c r="A30" s="10" t="s">
        <v>34</v>
      </c>
      <c r="B30" s="13">
        <f>B26</f>
        <v>18020</v>
      </c>
      <c r="C30" s="39">
        <f>C26</f>
        <v>4324.8</v>
      </c>
    </row>
    <row r="31" spans="1:3" ht="13" thickBot="1" x14ac:dyDescent="0.3">
      <c r="A31" s="14" t="s">
        <v>35</v>
      </c>
      <c r="B31" s="15">
        <f>Ahorros!C14</f>
        <v>10800</v>
      </c>
      <c r="C31" s="40">
        <f>B31*$D$1</f>
        <v>2592</v>
      </c>
    </row>
    <row r="32" spans="1:3" ht="13" x14ac:dyDescent="0.3">
      <c r="A32" s="22" t="s">
        <v>36</v>
      </c>
      <c r="B32" s="23">
        <f>B29-B30-B31</f>
        <v>2980</v>
      </c>
      <c r="C32" s="41">
        <f>C29-C30-C31</f>
        <v>715.19999999999982</v>
      </c>
    </row>
    <row r="34" spans="1:4" ht="14" x14ac:dyDescent="0.3">
      <c r="A34" s="99" t="s">
        <v>63</v>
      </c>
      <c r="B34" s="99"/>
      <c r="C34" s="99"/>
      <c r="D34" s="99"/>
    </row>
    <row r="35" spans="1:4" x14ac:dyDescent="0.25">
      <c r="A35" s="6" t="s">
        <v>64</v>
      </c>
      <c r="B35" s="6" t="s">
        <v>65</v>
      </c>
      <c r="C35" s="6" t="s">
        <v>66</v>
      </c>
      <c r="D35" s="6" t="s">
        <v>67</v>
      </c>
    </row>
    <row r="36" spans="1:4" x14ac:dyDescent="0.25">
      <c r="A36" t="s">
        <v>68</v>
      </c>
      <c r="B36" s="7">
        <f>Resumen!$B$32</f>
        <v>2980</v>
      </c>
      <c r="C36" s="7">
        <f>Enero!C32</f>
        <v>0</v>
      </c>
      <c r="D36" s="7">
        <f t="shared" ref="D36:D48" si="1">B36-C36</f>
        <v>2980</v>
      </c>
    </row>
    <row r="37" spans="1:4" x14ac:dyDescent="0.25">
      <c r="A37" s="8" t="s">
        <v>69</v>
      </c>
      <c r="B37" s="9">
        <f>Resumen!$B$32</f>
        <v>2980</v>
      </c>
      <c r="C37" s="9">
        <f>Febrero!C32</f>
        <v>0</v>
      </c>
      <c r="D37" s="9">
        <f t="shared" si="1"/>
        <v>2980</v>
      </c>
    </row>
    <row r="38" spans="1:4" x14ac:dyDescent="0.25">
      <c r="A38" t="s">
        <v>70</v>
      </c>
      <c r="B38" s="7">
        <f>Resumen!$B$32</f>
        <v>2980</v>
      </c>
      <c r="C38" s="7">
        <f>Marzo!C32</f>
        <v>0</v>
      </c>
      <c r="D38" s="7">
        <f t="shared" si="1"/>
        <v>2980</v>
      </c>
    </row>
    <row r="39" spans="1:4" x14ac:dyDescent="0.25">
      <c r="A39" s="8" t="s">
        <v>71</v>
      </c>
      <c r="B39" s="9">
        <f>Resumen!$B$32</f>
        <v>2980</v>
      </c>
      <c r="C39" s="9">
        <f>Abril!C32</f>
        <v>23465.166666666668</v>
      </c>
      <c r="D39" s="9">
        <f t="shared" si="1"/>
        <v>-20485.166666666668</v>
      </c>
    </row>
    <row r="40" spans="1:4" x14ac:dyDescent="0.25">
      <c r="A40" t="s">
        <v>72</v>
      </c>
      <c r="B40" s="7">
        <f>Resumen!$B$32</f>
        <v>2980</v>
      </c>
      <c r="C40" s="7">
        <f>Mayo!C32</f>
        <v>78371.571666666685</v>
      </c>
      <c r="D40" s="7">
        <f t="shared" si="1"/>
        <v>-75391.571666666685</v>
      </c>
    </row>
    <row r="41" spans="1:4" x14ac:dyDescent="0.25">
      <c r="A41" s="8" t="s">
        <v>73</v>
      </c>
      <c r="B41" s="9">
        <f>Resumen!$B$32</f>
        <v>2980</v>
      </c>
      <c r="C41" s="9">
        <f>Junio!C32</f>
        <v>25618.300000000003</v>
      </c>
      <c r="D41" s="9">
        <f t="shared" si="1"/>
        <v>-22638.300000000003</v>
      </c>
    </row>
    <row r="42" spans="1:4" x14ac:dyDescent="0.25">
      <c r="A42" t="s">
        <v>74</v>
      </c>
      <c r="B42" s="7">
        <f>Resumen!$B$32</f>
        <v>2980</v>
      </c>
      <c r="C42" s="7">
        <f>Julio!C32</f>
        <v>17112.101666666666</v>
      </c>
      <c r="D42" s="7">
        <f t="shared" si="1"/>
        <v>-14132.101666666666</v>
      </c>
    </row>
    <row r="43" spans="1:4" x14ac:dyDescent="0.25">
      <c r="A43" s="8" t="s">
        <v>75</v>
      </c>
      <c r="B43" s="9">
        <f>Resumen!$B$32</f>
        <v>2980</v>
      </c>
      <c r="C43" s="9">
        <f>Agosto!C32</f>
        <v>0</v>
      </c>
      <c r="D43" s="9">
        <f t="shared" si="1"/>
        <v>2980</v>
      </c>
    </row>
    <row r="44" spans="1:4" x14ac:dyDescent="0.25">
      <c r="A44" t="s">
        <v>76</v>
      </c>
      <c r="B44" s="7">
        <f>Resumen!$B$32</f>
        <v>2980</v>
      </c>
      <c r="C44" s="7">
        <f>Septiembre!C32</f>
        <v>0</v>
      </c>
      <c r="D44" s="7">
        <f t="shared" si="1"/>
        <v>2980</v>
      </c>
    </row>
    <row r="45" spans="1:4" x14ac:dyDescent="0.25">
      <c r="A45" s="8" t="s">
        <v>77</v>
      </c>
      <c r="B45" s="9">
        <f>Resumen!$B$32</f>
        <v>2980</v>
      </c>
      <c r="C45" s="9">
        <f>Octubre!C32</f>
        <v>0</v>
      </c>
      <c r="D45" s="9">
        <f t="shared" si="1"/>
        <v>2980</v>
      </c>
    </row>
    <row r="46" spans="1:4" x14ac:dyDescent="0.25">
      <c r="A46" t="s">
        <v>78</v>
      </c>
      <c r="B46" s="7">
        <f>Resumen!$B$32</f>
        <v>2980</v>
      </c>
      <c r="C46" s="7">
        <f>Noviembre!C32</f>
        <v>0</v>
      </c>
      <c r="D46" s="7">
        <f t="shared" si="1"/>
        <v>2980</v>
      </c>
    </row>
    <row r="47" spans="1:4" x14ac:dyDescent="0.25">
      <c r="A47" s="8" t="s">
        <v>79</v>
      </c>
      <c r="B47" s="9">
        <f>Resumen!$B$32</f>
        <v>2980</v>
      </c>
      <c r="C47" s="9">
        <f>Diciembre!C32</f>
        <v>0</v>
      </c>
      <c r="D47" s="9">
        <f t="shared" si="1"/>
        <v>2980</v>
      </c>
    </row>
    <row r="48" spans="1:4" ht="13" x14ac:dyDescent="0.3">
      <c r="A48" s="60" t="s">
        <v>80</v>
      </c>
      <c r="B48" s="61">
        <f>SUM(B36:B47)</f>
        <v>35760</v>
      </c>
      <c r="C48" s="61">
        <f>SUM(C36:C47)</f>
        <v>144567.14000000001</v>
      </c>
      <c r="D48" s="61">
        <f t="shared" si="1"/>
        <v>-108807.14000000001</v>
      </c>
    </row>
  </sheetData>
  <mergeCells count="5">
    <mergeCell ref="A1:C1"/>
    <mergeCell ref="A3:C3"/>
    <mergeCell ref="A9:C9"/>
    <mergeCell ref="A28:C28"/>
    <mergeCell ref="A34:D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CEF-EB1C-4370-9D48-67FDC50EB8F4}">
  <dimension ref="A1:F19"/>
  <sheetViews>
    <sheetView workbookViewId="0">
      <selection activeCell="C24" sqref="C24"/>
    </sheetView>
  </sheetViews>
  <sheetFormatPr baseColWidth="10" defaultRowHeight="12.5" x14ac:dyDescent="0.25"/>
  <cols>
    <col min="1" max="1" width="36.36328125" customWidth="1"/>
    <col min="2" max="6" width="18.1796875" customWidth="1"/>
  </cols>
  <sheetData>
    <row r="1" spans="1:6" ht="20" x14ac:dyDescent="0.4">
      <c r="A1" s="101" t="s">
        <v>37</v>
      </c>
      <c r="B1" s="101"/>
      <c r="C1" s="101"/>
      <c r="D1" s="101"/>
      <c r="E1" s="101"/>
      <c r="F1" s="101"/>
    </row>
    <row r="3" spans="1:6" ht="14" x14ac:dyDescent="0.3">
      <c r="A3" s="106" t="s">
        <v>38</v>
      </c>
      <c r="B3" s="106"/>
      <c r="C3" s="106"/>
      <c r="D3" s="106"/>
      <c r="E3" s="106"/>
      <c r="F3" s="106"/>
    </row>
    <row r="4" spans="1:6" x14ac:dyDescent="0.25">
      <c r="A4" s="24" t="s">
        <v>39</v>
      </c>
      <c r="B4" s="24" t="s">
        <v>40</v>
      </c>
      <c r="C4" s="24" t="s">
        <v>41</v>
      </c>
      <c r="D4" s="24" t="s">
        <v>42</v>
      </c>
      <c r="E4" s="24" t="s">
        <v>43</v>
      </c>
      <c r="F4" s="24" t="s">
        <v>61</v>
      </c>
    </row>
    <row r="5" spans="1:6" x14ac:dyDescent="0.25">
      <c r="A5" t="s">
        <v>44</v>
      </c>
      <c r="B5" s="25">
        <v>0</v>
      </c>
      <c r="C5" s="25">
        <v>3000</v>
      </c>
      <c r="D5" s="7">
        <v>0</v>
      </c>
      <c r="E5" s="7">
        <f>C5+D5</f>
        <v>3000</v>
      </c>
      <c r="F5" s="37">
        <f>E5*Resumen!$D$1</f>
        <v>720</v>
      </c>
    </row>
    <row r="6" spans="1:6" x14ac:dyDescent="0.25">
      <c r="A6" s="26" t="s">
        <v>12</v>
      </c>
      <c r="B6" s="27">
        <v>0</v>
      </c>
      <c r="C6" s="27">
        <v>6000</v>
      </c>
      <c r="D6" s="28">
        <v>0</v>
      </c>
      <c r="E6" s="28">
        <f>C6+D6</f>
        <v>6000</v>
      </c>
      <c r="F6" s="45">
        <f>E6*Resumen!$D$1</f>
        <v>1440</v>
      </c>
    </row>
    <row r="7" spans="1:6" x14ac:dyDescent="0.25">
      <c r="A7" t="s">
        <v>13</v>
      </c>
      <c r="B7" s="25">
        <v>0</v>
      </c>
      <c r="C7" s="25">
        <v>0</v>
      </c>
      <c r="D7" s="7">
        <v>0</v>
      </c>
      <c r="E7" s="7">
        <f>C7+D7</f>
        <v>0</v>
      </c>
      <c r="F7" s="37">
        <f>E7*Resumen!$D$1</f>
        <v>0</v>
      </c>
    </row>
    <row r="8" spans="1:6" x14ac:dyDescent="0.25">
      <c r="A8" s="26" t="s">
        <v>14</v>
      </c>
      <c r="B8" s="27">
        <v>0</v>
      </c>
      <c r="C8" s="27">
        <v>0</v>
      </c>
      <c r="D8" s="28">
        <v>0</v>
      </c>
      <c r="E8" s="28">
        <f>C8+D8</f>
        <v>0</v>
      </c>
      <c r="F8" s="45">
        <f>E8*Resumen!$D$1</f>
        <v>0</v>
      </c>
    </row>
    <row r="9" spans="1:6" x14ac:dyDescent="0.25">
      <c r="A9" t="s">
        <v>15</v>
      </c>
      <c r="B9" s="25">
        <v>0</v>
      </c>
      <c r="C9" s="25">
        <v>0</v>
      </c>
      <c r="D9" s="7">
        <v>0</v>
      </c>
      <c r="E9" s="7">
        <f>C9+D9</f>
        <v>0</v>
      </c>
      <c r="F9" s="37">
        <f>E9*Resumen!$D$1</f>
        <v>0</v>
      </c>
    </row>
    <row r="10" spans="1:6" ht="13" x14ac:dyDescent="0.3">
      <c r="A10" s="107" t="s">
        <v>47</v>
      </c>
      <c r="B10" s="107"/>
      <c r="C10" s="107"/>
      <c r="D10" s="107"/>
      <c r="E10" s="107"/>
      <c r="F10" s="107"/>
    </row>
    <row r="11" spans="1:6" x14ac:dyDescent="0.25">
      <c r="A11" t="s">
        <v>16</v>
      </c>
      <c r="B11" s="25">
        <v>0</v>
      </c>
      <c r="C11" s="25">
        <v>400</v>
      </c>
      <c r="D11" s="7">
        <v>0</v>
      </c>
      <c r="E11" s="7">
        <f>C11+D11</f>
        <v>400</v>
      </c>
      <c r="F11" s="37">
        <f>E11*Resumen!$D$1</f>
        <v>96</v>
      </c>
    </row>
    <row r="12" spans="1:6" x14ac:dyDescent="0.25">
      <c r="A12" s="26" t="s">
        <v>46</v>
      </c>
      <c r="B12" s="27">
        <v>0</v>
      </c>
      <c r="C12" s="27">
        <v>1000</v>
      </c>
      <c r="D12" s="28">
        <v>0</v>
      </c>
      <c r="E12" s="28">
        <f>C12+D12</f>
        <v>1000</v>
      </c>
      <c r="F12" s="45">
        <f>E12*Resumen!$D$1</f>
        <v>240</v>
      </c>
    </row>
    <row r="13" spans="1:6" x14ac:dyDescent="0.25">
      <c r="A13" t="s">
        <v>10</v>
      </c>
      <c r="B13" s="25">
        <v>0</v>
      </c>
      <c r="C13" s="25">
        <v>400</v>
      </c>
      <c r="D13" s="7">
        <v>0</v>
      </c>
      <c r="E13" s="7">
        <f>C13+D13</f>
        <v>400</v>
      </c>
      <c r="F13" s="37">
        <f>E13*Resumen!$D$1</f>
        <v>96</v>
      </c>
    </row>
    <row r="14" spans="1:6" ht="13" x14ac:dyDescent="0.3">
      <c r="A14" s="30" t="s">
        <v>45</v>
      </c>
      <c r="B14" s="31"/>
      <c r="C14" s="32">
        <f>SUM(C5:C9)+SUM(C11:C13)</f>
        <v>10800</v>
      </c>
      <c r="D14" s="32">
        <f>SUM(D5:D9)+SUM(D11:D13)</f>
        <v>0</v>
      </c>
      <c r="E14" s="32">
        <f>SUM(E5:E9)+SUM(E11:E13)</f>
        <v>10800</v>
      </c>
      <c r="F14" s="46">
        <f>E14*Resumen!$D$1</f>
        <v>2592</v>
      </c>
    </row>
    <row r="16" spans="1:6" ht="14" x14ac:dyDescent="0.3">
      <c r="A16" s="108" t="s">
        <v>57</v>
      </c>
      <c r="B16" s="108"/>
      <c r="C16" s="108"/>
      <c r="D16" s="108"/>
      <c r="E16" s="108"/>
      <c r="F16" s="108"/>
    </row>
    <row r="17" spans="1:6" x14ac:dyDescent="0.25">
      <c r="A17" s="29" t="s">
        <v>24</v>
      </c>
      <c r="B17" s="29" t="s">
        <v>40</v>
      </c>
      <c r="C17" s="29" t="s">
        <v>41</v>
      </c>
      <c r="D17" s="29" t="s">
        <v>42</v>
      </c>
      <c r="E17" s="29" t="s">
        <v>43</v>
      </c>
      <c r="F17" s="29" t="s">
        <v>61</v>
      </c>
    </row>
    <row r="18" spans="1:6" x14ac:dyDescent="0.25">
      <c r="A18" t="s">
        <v>58</v>
      </c>
      <c r="B18" s="25">
        <v>0</v>
      </c>
      <c r="C18" s="25">
        <v>0</v>
      </c>
      <c r="D18" s="7">
        <v>0</v>
      </c>
      <c r="E18" s="7">
        <f>C18+D18</f>
        <v>0</v>
      </c>
      <c r="F18" s="37">
        <f>E18*Resumen!$D$1</f>
        <v>0</v>
      </c>
    </row>
    <row r="19" spans="1:6" ht="13" x14ac:dyDescent="0.3">
      <c r="A19" s="33" t="s">
        <v>59</v>
      </c>
      <c r="B19" s="34"/>
      <c r="C19" s="35">
        <f>SUM(C18:C18)</f>
        <v>0</v>
      </c>
      <c r="D19" s="35">
        <f>SUM(D18:D18)</f>
        <v>0</v>
      </c>
      <c r="E19" s="35">
        <f>SUM(E18:E18)</f>
        <v>0</v>
      </c>
      <c r="F19" s="47">
        <f>E19*Resumen!$D$1</f>
        <v>0</v>
      </c>
    </row>
  </sheetData>
  <mergeCells count="4">
    <mergeCell ref="A3:F3"/>
    <mergeCell ref="A10:F10"/>
    <mergeCell ref="A16:F16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1FA5-BA08-4DEC-BE8C-0BA9FDF37001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v>0</v>
      </c>
      <c r="C15" s="65"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A37" t="s">
        <v>62</v>
      </c>
      <c r="B37" t="s">
        <v>130</v>
      </c>
      <c r="C37" s="62">
        <v>821.61</v>
      </c>
      <c r="D37" s="63"/>
      <c r="E37" s="80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821.61</v>
      </c>
      <c r="D57" s="51">
        <f>SUM(D37:D56)+SUM(C37:C56)*Resumen!$D$1</f>
        <v>197.18639999999999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2158.39</v>
      </c>
      <c r="D58" s="55">
        <f>Resumen!$C$32-D57</f>
        <v>518.01359999999977</v>
      </c>
      <c r="E58" s="83"/>
      <c r="F58" s="59"/>
      <c r="G58" s="53"/>
      <c r="H58" s="54">
        <f>C58-H57</f>
        <v>2158.39</v>
      </c>
      <c r="I58" s="55">
        <f>D58-I57</f>
        <v>518.01359999999977</v>
      </c>
      <c r="J58" s="83"/>
      <c r="K58" s="59"/>
      <c r="L58" s="53"/>
      <c r="M58" s="54">
        <f>H58-M57</f>
        <v>2158.39</v>
      </c>
      <c r="N58" s="55">
        <f>I58-N57</f>
        <v>518.01359999999977</v>
      </c>
      <c r="O58" s="83"/>
      <c r="P58" s="59"/>
      <c r="Q58" s="53"/>
      <c r="R58" s="54">
        <f>M58-R57</f>
        <v>2158.39</v>
      </c>
      <c r="S58" s="55">
        <f>N58-S57</f>
        <v>518.01359999999977</v>
      </c>
      <c r="T58" s="83"/>
      <c r="U58" s="59"/>
      <c r="V58" s="53"/>
      <c r="W58" s="54">
        <f>R58-W57</f>
        <v>2158.39</v>
      </c>
      <c r="X58" s="55">
        <f>S58-X57</f>
        <v>518.01359999999977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11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5D5A46B4-75E1-42E3-B808-C9E333208C1C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F622-F7D5-441A-83EF-8BF375D210EE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10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B76FD2B6-BCF5-4455-A41A-B22681D45666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94C2-F72F-42C9-8D09-1808D63201C4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9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8282C78C-84D6-44E1-9DC7-EFB159A7DA09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8DBE-5B89-45F3-92BF-72A119592A78}">
  <dimension ref="A1:X69"/>
  <sheetViews>
    <sheetView topLeftCell="A35" zoomScale="96" workbookViewId="0">
      <selection activeCell="T47" sqref="T47"/>
    </sheetView>
  </sheetViews>
  <sheetFormatPr baseColWidth="10" defaultRowHeight="12.5" x14ac:dyDescent="0.25"/>
  <cols>
    <col min="1" max="1" width="22.7265625" customWidth="1"/>
    <col min="2" max="2" width="15.6328125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8334.8333333333321</v>
      </c>
      <c r="D7" s="94">
        <f>D6-D32</f>
        <v>2000.3600000000006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22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3252.625</v>
      </c>
      <c r="D13" s="66">
        <f>C13*Resumen!$D$1</f>
        <v>780.63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5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547.04166666666674</v>
      </c>
      <c r="D14" s="70">
        <f>C14*Resumen!$D$1</f>
        <v>131.29000000000002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6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1355.6666666666667</v>
      </c>
      <c r="D15" s="66">
        <f>C15*Resumen!$D$1</f>
        <v>325.36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3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2096.875</v>
      </c>
      <c r="D16" s="70">
        <f>C16*Resumen!$D$1</f>
        <v>503.25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1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2272.3333333333335</v>
      </c>
      <c r="D19" s="66">
        <f>C19*Resumen!$D$1</f>
        <v>545.36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7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4430.7083333333339</v>
      </c>
      <c r="D21" s="66">
        <f>C21*Resumen!$D$1</f>
        <v>1063.3700000000001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7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939.5</v>
      </c>
      <c r="D27" s="66">
        <f>C27*Resumen!$D$1</f>
        <v>225.48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1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6614.833333333333</v>
      </c>
      <c r="D28" s="70">
        <f>C28*Resumen!$D$1</f>
        <v>1587.56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10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849.08333333333348</v>
      </c>
      <c r="D29" s="66">
        <f>C29*Resumen!$D$1</f>
        <v>203.78000000000003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9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639.875</v>
      </c>
      <c r="D30" s="70">
        <f>C30*Resumen!$D$1</f>
        <v>153.57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2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466.625</v>
      </c>
      <c r="D31" s="66">
        <f>C31*Resumen!$D$1</f>
        <v>111.99</v>
      </c>
    </row>
    <row r="32" spans="1:4" ht="13" x14ac:dyDescent="0.3">
      <c r="A32" s="60" t="s">
        <v>143</v>
      </c>
      <c r="B32" s="71">
        <f>SUM(B13:B31)</f>
        <v>73</v>
      </c>
      <c r="C32" s="61">
        <f>SUM(C13:C31)</f>
        <v>23465.166666666668</v>
      </c>
      <c r="D32" s="72">
        <f>SUM(D13:D31)</f>
        <v>5631.6399999999994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A37" t="s">
        <v>82</v>
      </c>
      <c r="B37" t="s">
        <v>48</v>
      </c>
      <c r="C37" s="62"/>
      <c r="D37" s="63">
        <v>7.55</v>
      </c>
      <c r="E37" s="80"/>
      <c r="F37" t="s">
        <v>90</v>
      </c>
      <c r="G37" t="s">
        <v>145</v>
      </c>
      <c r="H37" s="62"/>
      <c r="I37" s="63">
        <v>18.7</v>
      </c>
      <c r="J37" s="80"/>
      <c r="K37" t="s">
        <v>98</v>
      </c>
      <c r="L37" t="s">
        <v>137</v>
      </c>
      <c r="M37" s="62"/>
      <c r="N37" s="63">
        <v>36.1</v>
      </c>
      <c r="O37" s="80"/>
      <c r="P37" t="s">
        <v>108</v>
      </c>
      <c r="Q37" t="s">
        <v>109</v>
      </c>
      <c r="R37" s="62"/>
      <c r="S37" s="63">
        <v>16.04</v>
      </c>
      <c r="T37" s="80"/>
      <c r="U37" s="57" t="s">
        <v>163</v>
      </c>
      <c r="V37" t="s">
        <v>129</v>
      </c>
      <c r="W37" s="62">
        <v>15</v>
      </c>
      <c r="X37" s="63"/>
    </row>
    <row r="38" spans="1:24" x14ac:dyDescent="0.25">
      <c r="A38" t="s">
        <v>83</v>
      </c>
      <c r="B38" t="s">
        <v>130</v>
      </c>
      <c r="C38" s="62"/>
      <c r="D38" s="63">
        <v>57.33</v>
      </c>
      <c r="E38" s="80"/>
      <c r="F38" t="s">
        <v>90</v>
      </c>
      <c r="G38" t="s">
        <v>145</v>
      </c>
      <c r="H38" s="62"/>
      <c r="I38" s="63">
        <v>16.72</v>
      </c>
      <c r="J38" s="80"/>
      <c r="K38" t="s">
        <v>99</v>
      </c>
      <c r="L38" t="s">
        <v>48</v>
      </c>
      <c r="M38" s="62"/>
      <c r="N38" s="63">
        <v>100.5</v>
      </c>
      <c r="O38" s="80"/>
      <c r="P38" t="s">
        <v>90</v>
      </c>
      <c r="Q38" t="s">
        <v>145</v>
      </c>
      <c r="R38" s="62"/>
      <c r="S38" s="63">
        <v>34.15</v>
      </c>
      <c r="T38" s="80"/>
      <c r="U38" s="57" t="s">
        <v>163</v>
      </c>
      <c r="V38" t="s">
        <v>129</v>
      </c>
      <c r="W38" s="62">
        <v>262.5</v>
      </c>
      <c r="X38" s="63"/>
    </row>
    <row r="39" spans="1:24" x14ac:dyDescent="0.25">
      <c r="A39" t="s">
        <v>84</v>
      </c>
      <c r="B39" t="s">
        <v>130</v>
      </c>
      <c r="C39" s="62"/>
      <c r="D39" s="63">
        <v>44.26</v>
      </c>
      <c r="E39" s="80"/>
      <c r="F39" t="s">
        <v>91</v>
      </c>
      <c r="G39" t="s">
        <v>48</v>
      </c>
      <c r="H39" s="62"/>
      <c r="I39" s="63">
        <v>3.19</v>
      </c>
      <c r="J39" s="80"/>
      <c r="K39" t="s">
        <v>100</v>
      </c>
      <c r="L39" t="s">
        <v>48</v>
      </c>
      <c r="M39" s="62"/>
      <c r="N39" s="63">
        <v>8.42</v>
      </c>
      <c r="O39" s="80"/>
      <c r="P39" t="s">
        <v>110</v>
      </c>
      <c r="Q39" t="s">
        <v>145</v>
      </c>
      <c r="R39" s="62"/>
      <c r="S39" s="63">
        <v>24.55</v>
      </c>
      <c r="T39" s="80"/>
      <c r="U39" s="57" t="s">
        <v>164</v>
      </c>
      <c r="V39" t="s">
        <v>137</v>
      </c>
      <c r="W39" s="62"/>
      <c r="X39" s="63"/>
    </row>
    <row r="40" spans="1:24" x14ac:dyDescent="0.25">
      <c r="A40" t="s">
        <v>85</v>
      </c>
      <c r="B40" t="s">
        <v>48</v>
      </c>
      <c r="C40" s="62"/>
      <c r="D40" s="63">
        <v>36.1</v>
      </c>
      <c r="E40" s="80"/>
      <c r="F40" t="s">
        <v>92</v>
      </c>
      <c r="G40" t="s">
        <v>48</v>
      </c>
      <c r="H40" s="62"/>
      <c r="I40" s="63">
        <v>5.94</v>
      </c>
      <c r="J40" s="80"/>
      <c r="K40" t="s">
        <v>101</v>
      </c>
      <c r="L40" t="s">
        <v>48</v>
      </c>
      <c r="M40" s="62"/>
      <c r="N40" s="63">
        <v>110.42</v>
      </c>
      <c r="O40" s="80"/>
      <c r="P40" t="s">
        <v>90</v>
      </c>
      <c r="Q40" t="s">
        <v>145</v>
      </c>
      <c r="R40" s="62"/>
      <c r="S40" s="63">
        <v>12.71</v>
      </c>
      <c r="T40" s="80"/>
      <c r="U40" s="57" t="s">
        <v>200</v>
      </c>
      <c r="V40" t="s">
        <v>131</v>
      </c>
      <c r="W40" s="62"/>
      <c r="X40" s="63">
        <v>151.25</v>
      </c>
    </row>
    <row r="41" spans="1:24" x14ac:dyDescent="0.25">
      <c r="A41" t="s">
        <v>86</v>
      </c>
      <c r="B41" t="s">
        <v>144</v>
      </c>
      <c r="C41" s="62"/>
      <c r="D41" s="63">
        <v>1587.56</v>
      </c>
      <c r="E41" s="80"/>
      <c r="F41" t="s">
        <v>88</v>
      </c>
      <c r="G41" t="s">
        <v>48</v>
      </c>
      <c r="H41" s="62"/>
      <c r="I41" s="63">
        <v>11.81</v>
      </c>
      <c r="J41" s="80"/>
      <c r="K41" t="s">
        <v>102</v>
      </c>
      <c r="L41" t="s">
        <v>103</v>
      </c>
      <c r="M41" s="62"/>
      <c r="N41" s="63">
        <v>90</v>
      </c>
      <c r="O41" s="80"/>
      <c r="P41" t="s">
        <v>108</v>
      </c>
      <c r="Q41" t="s">
        <v>109</v>
      </c>
      <c r="R41" s="62"/>
      <c r="S41" s="63">
        <v>17.34</v>
      </c>
      <c r="T41" s="80"/>
      <c r="U41" s="57" t="s">
        <v>201</v>
      </c>
      <c r="V41" t="s">
        <v>134</v>
      </c>
      <c r="W41" s="62"/>
      <c r="X41" s="63">
        <v>545.36</v>
      </c>
    </row>
    <row r="42" spans="1:24" x14ac:dyDescent="0.25">
      <c r="A42" t="s">
        <v>87</v>
      </c>
      <c r="B42" t="s">
        <v>137</v>
      </c>
      <c r="C42" s="62"/>
      <c r="D42" s="63">
        <v>74.52</v>
      </c>
      <c r="E42" s="80"/>
      <c r="F42" t="s">
        <v>90</v>
      </c>
      <c r="G42" t="s">
        <v>145</v>
      </c>
      <c r="H42" s="62"/>
      <c r="I42" s="63">
        <v>15.89</v>
      </c>
      <c r="J42" s="80"/>
      <c r="K42" t="s">
        <v>104</v>
      </c>
      <c r="L42" t="s">
        <v>103</v>
      </c>
      <c r="M42" s="62"/>
      <c r="N42" s="63">
        <v>21.99</v>
      </c>
      <c r="O42" s="80"/>
      <c r="P42" t="s">
        <v>111</v>
      </c>
      <c r="Q42" t="s">
        <v>48</v>
      </c>
      <c r="R42" s="62"/>
      <c r="S42" s="63">
        <v>8.4</v>
      </c>
      <c r="T42" s="80"/>
      <c r="U42" s="57"/>
      <c r="W42" s="62"/>
      <c r="X42" s="63"/>
    </row>
    <row r="43" spans="1:24" x14ac:dyDescent="0.25">
      <c r="A43" t="s">
        <v>88</v>
      </c>
      <c r="B43" t="s">
        <v>48</v>
      </c>
      <c r="C43" s="62"/>
      <c r="D43" s="63">
        <v>11.81</v>
      </c>
      <c r="E43" s="80"/>
      <c r="F43" t="s">
        <v>93</v>
      </c>
      <c r="G43" t="s">
        <v>137</v>
      </c>
      <c r="H43" s="62"/>
      <c r="I43" s="63">
        <v>54.67</v>
      </c>
      <c r="J43" s="80"/>
      <c r="K43" t="s">
        <v>105</v>
      </c>
      <c r="L43" t="s">
        <v>48</v>
      </c>
      <c r="M43" s="62"/>
      <c r="N43" s="63">
        <v>56.77</v>
      </c>
      <c r="O43" s="80"/>
      <c r="P43" t="s">
        <v>112</v>
      </c>
      <c r="Q43" t="s">
        <v>109</v>
      </c>
      <c r="R43" s="62"/>
      <c r="S43" s="63">
        <v>10.55</v>
      </c>
      <c r="T43" s="80"/>
      <c r="U43" s="57"/>
      <c r="W43" s="62"/>
      <c r="X43" s="63"/>
    </row>
    <row r="44" spans="1:24" x14ac:dyDescent="0.25">
      <c r="A44" t="s">
        <v>90</v>
      </c>
      <c r="B44" t="s">
        <v>145</v>
      </c>
      <c r="C44" s="62"/>
      <c r="D44" s="63">
        <v>23.62</v>
      </c>
      <c r="E44" s="80"/>
      <c r="F44" t="s">
        <v>94</v>
      </c>
      <c r="G44" t="s">
        <v>109</v>
      </c>
      <c r="H44" s="62"/>
      <c r="I44" s="63">
        <v>7.28</v>
      </c>
      <c r="J44" s="80"/>
      <c r="K44" t="s">
        <v>106</v>
      </c>
      <c r="L44" t="s">
        <v>130</v>
      </c>
      <c r="M44" s="62"/>
      <c r="N44" s="63">
        <v>15.25</v>
      </c>
      <c r="O44" s="80"/>
      <c r="P44" t="s">
        <v>113</v>
      </c>
      <c r="Q44" t="s">
        <v>48</v>
      </c>
      <c r="R44" s="62"/>
      <c r="S44" s="63">
        <v>105.6</v>
      </c>
      <c r="T44" s="80"/>
      <c r="U44" s="57"/>
      <c r="W44" s="62"/>
      <c r="X44" s="63"/>
    </row>
    <row r="45" spans="1:24" x14ac:dyDescent="0.25">
      <c r="A45" t="s">
        <v>126</v>
      </c>
      <c r="B45" t="s">
        <v>109</v>
      </c>
      <c r="C45" s="62">
        <v>2000</v>
      </c>
      <c r="D45" s="63"/>
      <c r="E45" s="80"/>
      <c r="F45" t="s">
        <v>95</v>
      </c>
      <c r="G45" t="s">
        <v>129</v>
      </c>
      <c r="H45" s="62"/>
      <c r="I45" s="63">
        <v>24.04</v>
      </c>
      <c r="J45" s="80"/>
      <c r="K45" t="s">
        <v>107</v>
      </c>
      <c r="L45" t="s">
        <v>130</v>
      </c>
      <c r="M45" s="62"/>
      <c r="N45" s="63">
        <v>23.46</v>
      </c>
      <c r="O45" s="80"/>
      <c r="P45" t="s">
        <v>114</v>
      </c>
      <c r="Q45" t="s">
        <v>109</v>
      </c>
      <c r="R45" s="62"/>
      <c r="S45" s="63">
        <v>5.83</v>
      </c>
      <c r="T45" s="80"/>
      <c r="U45" s="57"/>
      <c r="W45" s="62"/>
      <c r="X45" s="63"/>
    </row>
    <row r="46" spans="1:24" x14ac:dyDescent="0.25">
      <c r="A46" t="s">
        <v>146</v>
      </c>
      <c r="B46" s="73" t="s">
        <v>131</v>
      </c>
      <c r="D46" s="63">
        <v>152</v>
      </c>
      <c r="E46" s="80"/>
      <c r="F46" t="s">
        <v>88</v>
      </c>
      <c r="G46" t="s">
        <v>48</v>
      </c>
      <c r="H46" s="62"/>
      <c r="I46" s="63">
        <v>8.74</v>
      </c>
      <c r="J46" s="80"/>
      <c r="K46" t="s">
        <v>90</v>
      </c>
      <c r="L46" t="s">
        <v>145</v>
      </c>
      <c r="M46" s="62"/>
      <c r="N46" s="63">
        <v>14.33</v>
      </c>
      <c r="O46" s="80"/>
      <c r="P46" t="s">
        <v>115</v>
      </c>
      <c r="Q46" t="s">
        <v>129</v>
      </c>
      <c r="R46" s="62"/>
      <c r="S46" s="63">
        <v>20.62</v>
      </c>
      <c r="T46" s="80"/>
      <c r="U46" s="57"/>
      <c r="W46" s="62"/>
      <c r="X46" s="63"/>
    </row>
    <row r="47" spans="1:24" x14ac:dyDescent="0.25">
      <c r="A47" t="s">
        <v>147</v>
      </c>
      <c r="B47" t="s">
        <v>131</v>
      </c>
      <c r="D47" s="63">
        <v>200</v>
      </c>
      <c r="E47" s="80"/>
      <c r="F47" t="s">
        <v>127</v>
      </c>
      <c r="G47" t="s">
        <v>48</v>
      </c>
      <c r="H47" s="62"/>
      <c r="I47" s="63">
        <v>14.43</v>
      </c>
      <c r="J47" s="80"/>
      <c r="K47" t="s">
        <v>90</v>
      </c>
      <c r="L47" t="s">
        <v>145</v>
      </c>
      <c r="M47" s="62"/>
      <c r="N47" s="63">
        <v>20.88</v>
      </c>
      <c r="O47" s="80"/>
      <c r="P47" t="s">
        <v>116</v>
      </c>
      <c r="Q47" t="s">
        <v>129</v>
      </c>
      <c r="R47" s="62"/>
      <c r="S47" s="63">
        <v>20.03</v>
      </c>
      <c r="T47" s="80"/>
      <c r="U47" s="57"/>
      <c r="W47" s="62"/>
      <c r="X47" s="63"/>
    </row>
    <row r="48" spans="1:24" x14ac:dyDescent="0.25">
      <c r="A48" t="s">
        <v>178</v>
      </c>
      <c r="B48" t="s">
        <v>97</v>
      </c>
      <c r="D48" s="63">
        <v>37.1</v>
      </c>
      <c r="E48" s="80"/>
      <c r="F48" t="s">
        <v>96</v>
      </c>
      <c r="G48" t="s">
        <v>97</v>
      </c>
      <c r="H48" s="62"/>
      <c r="I48" s="63">
        <v>5.27</v>
      </c>
      <c r="J48" s="80"/>
      <c r="K48" t="s">
        <v>96</v>
      </c>
      <c r="L48" t="s">
        <v>97</v>
      </c>
      <c r="M48" s="62"/>
      <c r="N48" s="63">
        <v>21.83</v>
      </c>
      <c r="O48" s="80"/>
      <c r="P48" t="s">
        <v>117</v>
      </c>
      <c r="Q48" t="s">
        <v>137</v>
      </c>
      <c r="R48" s="62"/>
      <c r="S48" s="63">
        <v>3.3</v>
      </c>
      <c r="T48" s="80"/>
      <c r="U48" s="57"/>
      <c r="W48" s="62"/>
      <c r="X48" s="63"/>
    </row>
    <row r="49" spans="1:24" x14ac:dyDescent="0.25">
      <c r="A49" t="s">
        <v>178</v>
      </c>
      <c r="B49" t="s">
        <v>97</v>
      </c>
      <c r="D49" s="63">
        <v>19.920000000000002</v>
      </c>
      <c r="E49" s="80"/>
      <c r="F49" t="s">
        <v>128</v>
      </c>
      <c r="G49" t="s">
        <v>137</v>
      </c>
      <c r="H49" s="62"/>
      <c r="I49" s="63">
        <v>55</v>
      </c>
      <c r="J49" s="80"/>
      <c r="K49" s="57" t="s">
        <v>199</v>
      </c>
      <c r="L49" t="s">
        <v>97</v>
      </c>
      <c r="M49" s="62"/>
      <c r="N49" s="63">
        <v>4.87</v>
      </c>
      <c r="O49" s="80"/>
      <c r="P49" t="s">
        <v>118</v>
      </c>
      <c r="Q49" t="s">
        <v>48</v>
      </c>
      <c r="R49" s="62"/>
      <c r="S49" s="63">
        <v>36.049999999999997</v>
      </c>
      <c r="T49" s="80"/>
      <c r="U49" s="57"/>
      <c r="W49" s="62"/>
      <c r="X49" s="63"/>
    </row>
    <row r="50" spans="1:24" x14ac:dyDescent="0.25">
      <c r="A50" t="s">
        <v>190</v>
      </c>
      <c r="B50" t="s">
        <v>48</v>
      </c>
      <c r="D50" s="63">
        <v>47.76</v>
      </c>
      <c r="E50" s="80"/>
      <c r="F50" s="57" t="s">
        <v>192</v>
      </c>
      <c r="G50" t="s">
        <v>48</v>
      </c>
      <c r="H50" s="62"/>
      <c r="I50" s="63">
        <v>12.18</v>
      </c>
      <c r="J50" s="80"/>
      <c r="K50" s="57"/>
      <c r="M50" s="62"/>
      <c r="N50" s="63"/>
      <c r="O50" s="80"/>
      <c r="P50" t="s">
        <v>82</v>
      </c>
      <c r="Q50" t="s">
        <v>48</v>
      </c>
      <c r="R50" s="62"/>
      <c r="S50" s="63">
        <v>10.6</v>
      </c>
      <c r="T50" s="80"/>
      <c r="U50" s="57"/>
      <c r="W50" s="62"/>
      <c r="X50" s="63"/>
    </row>
    <row r="51" spans="1:24" x14ac:dyDescent="0.25">
      <c r="A51" t="s">
        <v>191</v>
      </c>
      <c r="B51" t="s">
        <v>109</v>
      </c>
      <c r="D51" s="63">
        <v>526.33000000000004</v>
      </c>
      <c r="E51" s="80"/>
      <c r="F51" s="57" t="s">
        <v>193</v>
      </c>
      <c r="G51" t="s">
        <v>48</v>
      </c>
      <c r="H51" s="62"/>
      <c r="I51" s="63">
        <v>11.69</v>
      </c>
      <c r="J51" s="80"/>
      <c r="K51" s="57"/>
      <c r="M51" s="62"/>
      <c r="N51" s="63"/>
      <c r="O51" s="80"/>
      <c r="P51" t="s">
        <v>119</v>
      </c>
      <c r="Q51" t="s">
        <v>137</v>
      </c>
      <c r="R51" s="62"/>
      <c r="S51" s="63">
        <v>1.89</v>
      </c>
      <c r="T51" s="80"/>
      <c r="U51" s="57"/>
      <c r="W51" s="62"/>
      <c r="X51" s="63"/>
    </row>
    <row r="52" spans="1:24" x14ac:dyDescent="0.25">
      <c r="E52" s="80"/>
      <c r="F52" s="57" t="s">
        <v>194</v>
      </c>
      <c r="G52" t="s">
        <v>97</v>
      </c>
      <c r="H52" s="62"/>
      <c r="I52" s="63">
        <v>23.43</v>
      </c>
      <c r="J52" s="80"/>
      <c r="K52" s="57"/>
      <c r="M52" s="62"/>
      <c r="N52" s="63"/>
      <c r="O52" s="80"/>
      <c r="P52" t="s">
        <v>96</v>
      </c>
      <c r="Q52" t="s">
        <v>97</v>
      </c>
      <c r="R52" s="62"/>
      <c r="S52" s="63">
        <v>22.66</v>
      </c>
      <c r="T52" s="80"/>
      <c r="U52" s="57"/>
      <c r="W52" s="62"/>
      <c r="X52" s="63"/>
    </row>
    <row r="53" spans="1:24" x14ac:dyDescent="0.25">
      <c r="E53" s="80"/>
      <c r="F53" s="57" t="s">
        <v>195</v>
      </c>
      <c r="G53" t="s">
        <v>130</v>
      </c>
      <c r="H53" s="62"/>
      <c r="I53" s="63">
        <v>157.02000000000001</v>
      </c>
      <c r="J53" s="80"/>
      <c r="K53" s="57"/>
      <c r="M53" s="62"/>
      <c r="N53" s="63"/>
      <c r="O53" s="80"/>
      <c r="P53" t="s">
        <v>120</v>
      </c>
      <c r="Q53" t="s">
        <v>48</v>
      </c>
      <c r="R53" s="62"/>
      <c r="S53" s="63">
        <v>8.01</v>
      </c>
      <c r="T53" s="80"/>
      <c r="U53" s="57"/>
      <c r="W53" s="62"/>
      <c r="X53" s="63"/>
    </row>
    <row r="54" spans="1:24" x14ac:dyDescent="0.25">
      <c r="E54" s="80"/>
      <c r="F54" s="57" t="s">
        <v>96</v>
      </c>
      <c r="G54" t="s">
        <v>97</v>
      </c>
      <c r="H54" s="62"/>
      <c r="I54" s="63">
        <v>17.670000000000002</v>
      </c>
      <c r="J54" s="80"/>
      <c r="K54" s="57"/>
      <c r="M54" s="62"/>
      <c r="N54" s="63"/>
      <c r="O54" s="80"/>
      <c r="P54" t="s">
        <v>121</v>
      </c>
      <c r="Q54" t="s">
        <v>130</v>
      </c>
      <c r="R54" s="62"/>
      <c r="S54" s="63">
        <v>28.04</v>
      </c>
      <c r="T54" s="80"/>
      <c r="U54" s="57"/>
      <c r="W54" s="62"/>
      <c r="X54" s="63"/>
    </row>
    <row r="55" spans="1:24" x14ac:dyDescent="0.25">
      <c r="E55" s="80"/>
      <c r="F55" s="57" t="s">
        <v>196</v>
      </c>
      <c r="G55" t="s">
        <v>48</v>
      </c>
      <c r="H55" s="62"/>
      <c r="I55" s="63">
        <v>160.38</v>
      </c>
      <c r="J55" s="80"/>
      <c r="K55" s="57"/>
      <c r="M55" s="62"/>
      <c r="N55" s="63"/>
      <c r="O55" s="80"/>
      <c r="P55" t="s">
        <v>90</v>
      </c>
      <c r="Q55" t="s">
        <v>145</v>
      </c>
      <c r="R55" s="62"/>
      <c r="S55" s="63">
        <v>22.23</v>
      </c>
      <c r="T55" s="80"/>
      <c r="U55" s="57"/>
      <c r="W55" s="62"/>
      <c r="X55" s="63"/>
    </row>
    <row r="56" spans="1:24" x14ac:dyDescent="0.25">
      <c r="E56" s="80"/>
      <c r="F56" s="57" t="s">
        <v>192</v>
      </c>
      <c r="G56" t="s">
        <v>48</v>
      </c>
      <c r="H56" s="62"/>
      <c r="I56" s="63">
        <v>4.28</v>
      </c>
      <c r="J56" s="80"/>
      <c r="K56" s="57"/>
      <c r="M56" s="62"/>
      <c r="N56" s="63"/>
      <c r="O56" s="80"/>
      <c r="P56" t="s">
        <v>122</v>
      </c>
      <c r="Q56" t="s">
        <v>97</v>
      </c>
      <c r="R56" s="62"/>
      <c r="S56" s="63">
        <v>0.82</v>
      </c>
      <c r="T56" s="80"/>
      <c r="U56" s="57"/>
      <c r="W56" s="62"/>
      <c r="X56" s="63"/>
    </row>
    <row r="57" spans="1:24" x14ac:dyDescent="0.25">
      <c r="E57" s="80"/>
      <c r="F57" s="57" t="s">
        <v>197</v>
      </c>
      <c r="G57" t="s">
        <v>130</v>
      </c>
      <c r="H57" s="62"/>
      <c r="I57" s="63">
        <v>10.9</v>
      </c>
      <c r="J57" s="80"/>
      <c r="K57" s="57"/>
      <c r="M57" s="62"/>
      <c r="N57" s="63"/>
      <c r="O57" s="80"/>
      <c r="P57" t="s">
        <v>90</v>
      </c>
      <c r="Q57" t="s">
        <v>89</v>
      </c>
      <c r="R57" s="62"/>
      <c r="S57" s="63">
        <v>22.8</v>
      </c>
      <c r="T57" s="80"/>
      <c r="U57" s="57"/>
      <c r="W57" s="62"/>
      <c r="X57" s="63"/>
    </row>
    <row r="58" spans="1:24" x14ac:dyDescent="0.25">
      <c r="E58" s="80"/>
      <c r="F58" s="57" t="s">
        <v>198</v>
      </c>
      <c r="G58" t="s">
        <v>97</v>
      </c>
      <c r="H58" s="62"/>
      <c r="I58" s="63">
        <v>316.33</v>
      </c>
      <c r="J58" s="80"/>
      <c r="K58" s="57"/>
      <c r="M58" s="62"/>
      <c r="N58" s="63"/>
      <c r="O58" s="80"/>
      <c r="P58" t="s">
        <v>90</v>
      </c>
      <c r="Q58" t="s">
        <v>89</v>
      </c>
      <c r="R58" s="62"/>
      <c r="S58" s="63">
        <v>5.58</v>
      </c>
      <c r="T58" s="80"/>
      <c r="U58" s="57"/>
      <c r="W58" s="62"/>
      <c r="X58" s="63"/>
    </row>
    <row r="59" spans="1:24" x14ac:dyDescent="0.25">
      <c r="E59" s="80"/>
      <c r="F59" s="57"/>
      <c r="H59" s="62"/>
      <c r="I59" s="63"/>
      <c r="J59" s="80"/>
      <c r="K59" s="57"/>
      <c r="M59" s="62"/>
      <c r="N59" s="63"/>
      <c r="O59" s="80"/>
      <c r="P59" t="s">
        <v>108</v>
      </c>
      <c r="Q59" t="s">
        <v>109</v>
      </c>
      <c r="R59" s="62"/>
      <c r="S59" s="63">
        <v>14.11</v>
      </c>
      <c r="T59" s="80"/>
      <c r="U59" s="57"/>
      <c r="W59" s="62"/>
      <c r="X59" s="63"/>
    </row>
    <row r="60" spans="1:24" x14ac:dyDescent="0.25">
      <c r="E60" s="80"/>
      <c r="F60" s="57"/>
      <c r="H60" s="62"/>
      <c r="I60" s="63"/>
      <c r="J60" s="80"/>
      <c r="K60" s="57"/>
      <c r="M60" s="62"/>
      <c r="N60" s="63"/>
      <c r="O60" s="80"/>
      <c r="P60" t="s">
        <v>123</v>
      </c>
      <c r="Q60" t="s">
        <v>81</v>
      </c>
      <c r="R60" s="62"/>
      <c r="S60" s="63">
        <v>77.87</v>
      </c>
      <c r="T60" s="80"/>
      <c r="U60" s="57"/>
      <c r="W60" s="62"/>
      <c r="X60" s="63"/>
    </row>
    <row r="61" spans="1:24" x14ac:dyDescent="0.25">
      <c r="E61" s="80"/>
      <c r="F61" s="57"/>
      <c r="H61" s="62"/>
      <c r="I61" s="63"/>
      <c r="J61" s="80"/>
      <c r="K61" s="57"/>
      <c r="M61" s="62"/>
      <c r="N61" s="63"/>
      <c r="O61" s="80"/>
      <c r="P61" t="s">
        <v>90</v>
      </c>
      <c r="Q61" t="s">
        <v>89</v>
      </c>
      <c r="R61" s="62"/>
      <c r="S61" s="63">
        <v>17.23</v>
      </c>
      <c r="T61" s="80"/>
      <c r="U61" s="57"/>
      <c r="W61" s="62"/>
      <c r="X61" s="63"/>
    </row>
    <row r="62" spans="1:24" x14ac:dyDescent="0.25">
      <c r="E62" s="80"/>
      <c r="F62" s="57"/>
      <c r="H62" s="62"/>
      <c r="I62" s="63"/>
      <c r="J62" s="80"/>
      <c r="K62" s="57"/>
      <c r="M62" s="62"/>
      <c r="N62" s="63"/>
      <c r="O62" s="80"/>
      <c r="P62" t="s">
        <v>124</v>
      </c>
      <c r="Q62" t="s">
        <v>81</v>
      </c>
      <c r="R62" s="62"/>
      <c r="S62" s="63">
        <v>16.68</v>
      </c>
      <c r="T62" s="80"/>
      <c r="U62" s="57"/>
      <c r="W62" s="62"/>
      <c r="X62" s="63"/>
    </row>
    <row r="63" spans="1:24" x14ac:dyDescent="0.25">
      <c r="E63" s="80"/>
      <c r="F63" s="57"/>
      <c r="H63" s="62"/>
      <c r="I63" s="63"/>
      <c r="J63" s="80"/>
      <c r="K63" s="57"/>
      <c r="M63" s="62"/>
      <c r="N63" s="63"/>
      <c r="O63" s="80"/>
      <c r="P63" t="s">
        <v>90</v>
      </c>
      <c r="Q63" t="s">
        <v>89</v>
      </c>
      <c r="R63" s="62"/>
      <c r="S63" s="63">
        <v>19</v>
      </c>
      <c r="T63" s="80"/>
      <c r="U63" s="57"/>
      <c r="W63" s="62"/>
      <c r="X63" s="63"/>
    </row>
    <row r="64" spans="1:24" x14ac:dyDescent="0.25">
      <c r="E64" s="80"/>
      <c r="F64" s="57"/>
      <c r="H64" s="62"/>
      <c r="I64" s="63"/>
      <c r="J64" s="80"/>
      <c r="K64" s="57"/>
      <c r="M64" s="62"/>
      <c r="N64" s="63"/>
      <c r="O64" s="80"/>
      <c r="P64" t="s">
        <v>90</v>
      </c>
      <c r="Q64" t="s">
        <v>89</v>
      </c>
      <c r="R64" s="62"/>
      <c r="S64" s="63">
        <v>32.71</v>
      </c>
      <c r="T64" s="80"/>
      <c r="U64" s="57"/>
      <c r="W64" s="62"/>
      <c r="X64" s="63"/>
    </row>
    <row r="65" spans="1:24" x14ac:dyDescent="0.25">
      <c r="E65" s="80"/>
      <c r="F65" s="57"/>
      <c r="H65" s="62"/>
      <c r="I65" s="63"/>
      <c r="J65" s="80"/>
      <c r="K65" s="57"/>
      <c r="M65" s="62"/>
      <c r="N65" s="63"/>
      <c r="O65" s="80"/>
      <c r="P65" t="s">
        <v>90</v>
      </c>
      <c r="Q65" t="s">
        <v>89</v>
      </c>
      <c r="R65" s="62"/>
      <c r="S65" s="63">
        <v>7.97</v>
      </c>
      <c r="T65" s="80"/>
      <c r="U65" s="57"/>
      <c r="W65" s="62"/>
      <c r="X65" s="63"/>
    </row>
    <row r="66" spans="1:24" x14ac:dyDescent="0.25">
      <c r="E66" s="80"/>
      <c r="F66" s="57"/>
      <c r="H66" s="62"/>
      <c r="I66" s="63"/>
      <c r="J66" s="80"/>
      <c r="K66" s="57"/>
      <c r="M66" s="62"/>
      <c r="N66" s="63"/>
      <c r="O66" s="80"/>
      <c r="P66" t="s">
        <v>125</v>
      </c>
      <c r="Q66" t="s">
        <v>89</v>
      </c>
      <c r="R66" s="62"/>
      <c r="S66" s="63">
        <v>16.489999999999998</v>
      </c>
      <c r="T66" s="80"/>
      <c r="U66" s="57"/>
      <c r="W66" s="62"/>
      <c r="X66" s="63"/>
    </row>
    <row r="67" spans="1:24" x14ac:dyDescent="0.25">
      <c r="E67" s="80"/>
      <c r="F67" s="57"/>
      <c r="H67" s="62"/>
      <c r="I67" s="63"/>
      <c r="J67" s="80"/>
      <c r="K67" s="57"/>
      <c r="M67" s="62"/>
      <c r="N67" s="63"/>
      <c r="O67" s="80"/>
      <c r="T67" s="80"/>
      <c r="U67" s="57"/>
      <c r="W67" s="62"/>
      <c r="X67" s="63"/>
    </row>
    <row r="68" spans="1:24" ht="13" x14ac:dyDescent="0.3">
      <c r="A68" s="49" t="s">
        <v>3</v>
      </c>
      <c r="B68" s="50"/>
      <c r="C68" s="48">
        <f>SUM(C37:C67)+SUM(D37:D67)/Resumen!$D$1</f>
        <v>13774.416666666668</v>
      </c>
      <c r="D68" s="51">
        <f>SUM(D37:D67)+SUM(C37:C67)*Resumen!$D$1</f>
        <v>3305.86</v>
      </c>
      <c r="E68" s="82"/>
      <c r="F68" s="58"/>
      <c r="G68" s="50"/>
      <c r="H68" s="48">
        <f>SUM(H37:H67)+SUM(I37:I67)/Resumen!$D$1</f>
        <v>3981.5</v>
      </c>
      <c r="I68" s="51">
        <f>SUM(I37:I67)+SUM(H37:H67)*Resumen!$D$1</f>
        <v>955.56</v>
      </c>
      <c r="J68" s="82"/>
      <c r="K68" s="58"/>
      <c r="L68" s="50"/>
      <c r="M68" s="48">
        <f>SUM(M37:M67)+SUM(N37:N67)/Resumen!$D$1</f>
        <v>2186.75</v>
      </c>
      <c r="N68" s="51">
        <f>SUM(N37:N67)+SUM(M37:M67)*Resumen!$D$1</f>
        <v>524.81999999999994</v>
      </c>
      <c r="O68" s="82"/>
      <c r="P68" s="58"/>
      <c r="Q68" s="50"/>
      <c r="R68" s="48">
        <f>SUM(R37:R67)+SUM(S37:S67)/Resumen!$D$1</f>
        <v>2666.0833333333339</v>
      </c>
      <c r="S68" s="51">
        <f>SUM(S37:S67)+SUM(R37:R67)*Resumen!$D$1</f>
        <v>639.86000000000013</v>
      </c>
      <c r="T68" s="82"/>
      <c r="U68" s="58"/>
      <c r="V68" s="50"/>
      <c r="W68" s="48">
        <f>SUM(W37:W67)+SUM(X37:X67)/Resumen!$D$1</f>
        <v>3180.041666666667</v>
      </c>
      <c r="X68" s="51">
        <f>SUM(X37:X67)+SUM(W37:W67)*Resumen!$D$1</f>
        <v>763.21</v>
      </c>
    </row>
    <row r="69" spans="1:24" ht="13" x14ac:dyDescent="0.3">
      <c r="A69" s="52" t="s">
        <v>56</v>
      </c>
      <c r="B69" s="53"/>
      <c r="C69" s="54">
        <f>C32-C68</f>
        <v>9690.75</v>
      </c>
      <c r="D69" s="55">
        <f>D32-D68</f>
        <v>2325.7799999999993</v>
      </c>
      <c r="E69" s="83"/>
      <c r="F69" s="59"/>
      <c r="G69" s="53"/>
      <c r="H69" s="54">
        <f>C69-H68</f>
        <v>5709.25</v>
      </c>
      <c r="I69" s="55">
        <f>D69-I68</f>
        <v>1370.2199999999993</v>
      </c>
      <c r="J69" s="83"/>
      <c r="K69" s="59"/>
      <c r="L69" s="53"/>
      <c r="M69" s="54">
        <f>H69-M68</f>
        <v>3522.5</v>
      </c>
      <c r="N69" s="55">
        <f>I69-N68</f>
        <v>845.39999999999941</v>
      </c>
      <c r="O69" s="83"/>
      <c r="P69" s="59"/>
      <c r="Q69" s="53"/>
      <c r="R69" s="54">
        <f>M69-R68</f>
        <v>856.41666666666606</v>
      </c>
      <c r="S69" s="55">
        <f>N69-S68</f>
        <v>205.53999999999928</v>
      </c>
      <c r="T69" s="83"/>
      <c r="U69" s="59"/>
      <c r="V69" s="53"/>
      <c r="W69" s="54">
        <f>R69-W68</f>
        <v>-2323.6250000000009</v>
      </c>
      <c r="X69" s="55">
        <f>S69-X68</f>
        <v>-557.67000000000075</v>
      </c>
    </row>
  </sheetData>
  <mergeCells count="2">
    <mergeCell ref="A11:D11"/>
    <mergeCell ref="A1:D1"/>
  </mergeCells>
  <conditionalFormatting sqref="C7:D7">
    <cfRule type="cellIs" dxfId="8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998E3D38-04CB-4ABE-A656-1223C9A0FC4A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0899-6C08-48F6-9075-6C70183798C9}">
  <dimension ref="A1:X88"/>
  <sheetViews>
    <sheetView topLeftCell="A7" workbookViewId="0">
      <selection activeCell="H87" sqref="H87"/>
    </sheetView>
  </sheetViews>
  <sheetFormatPr baseColWidth="10" defaultRowHeight="12.5" x14ac:dyDescent="0.25"/>
  <cols>
    <col min="1" max="1" width="16" customWidth="1"/>
    <col min="2" max="2" width="18.54296875" customWidth="1"/>
    <col min="3" max="3" width="13.6328125" customWidth="1"/>
    <col min="4" max="4" width="12.7265625" customWidth="1"/>
    <col min="5" max="5" width="21.81640625" customWidth="1"/>
    <col min="6" max="6" width="13.6328125" customWidth="1"/>
    <col min="7" max="7" width="18.54296875" customWidth="1"/>
    <col min="8" max="8" width="12.7265625" customWidth="1"/>
    <col min="9" max="9" width="21.81640625" customWidth="1"/>
    <col min="10" max="10" width="10" customWidth="1"/>
    <col min="11" max="11" width="18.36328125" customWidth="1"/>
    <col min="12" max="12" width="17.363281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-46571.571666666685</v>
      </c>
      <c r="D7" s="94">
        <f>D6-D32</f>
        <v>-11177.177199999995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COUNTIF(B37:B86,A13)+COUNTIF(G37:G86,A13)+COUNTIF(L37:L86,A13)+COUNTIF(Q37:Q86,A13)+COUNTIF(V37:V86,A13)</f>
        <v>17</v>
      </c>
      <c r="C13" s="65">
        <f>SUMIF(B37:B86,A13,C37:C86)+SUMIF(G37:G86,A13,H37:H86)+SUMIF(L37:L86,A13,M37:M86)+SUMIF(Q37:Q86,A13,R37:R86)+SUMIF(V37:V86,A13,W37:W86)+(SUMIF(B37:B86,A13,D37:D86)+SUMIF(G37:G86,A13,I37:I86)+SUMIF(L37:L86,A13,N37:N86)+SUMIF(Q37:Q86,A13,S37:S86)+SUMIF(V37:V86,A13,X37:X86))/Resumen!$D$1</f>
        <v>3310.208333333333</v>
      </c>
      <c r="D13" s="66">
        <f>C13*Resumen!$D$1</f>
        <v>794.44999999999993</v>
      </c>
    </row>
    <row r="14" spans="1:4" x14ac:dyDescent="0.25">
      <c r="A14" s="67" t="s">
        <v>129</v>
      </c>
      <c r="B14" s="68">
        <f>COUNTIF(B37:B86,A14)+COUNTIF(G37:G86,A14)+COUNTIF(L37:L86,A14)+COUNTIF(Q37:Q86,A14)+COUNTIF(V37:V86,A14)</f>
        <v>1</v>
      </c>
      <c r="C14" s="69">
        <f>SUMIF(B37:B86,A14,C37:C86)+SUMIF(G37:G86,A14,H37:H86)+SUMIF(L37:L86,A14,M37:M86)+SUMIF(Q37:Q86,A14,R37:R86)+SUMIF(V37:V86,A14,W37:W86)+(SUMIF(B37:B86,A14,D37:D86)+SUMIF(G37:G86,A14,I37:I86)+SUMIF(L37:L86,A14,N37:N86)+SUMIF(Q37:Q86,A14,S37:S86)+SUMIF(V37:V86,A14,X37:X86))/Resumen!$D$1</f>
        <v>400</v>
      </c>
      <c r="D14" s="70">
        <f>C14*Resumen!$D$1</f>
        <v>96</v>
      </c>
    </row>
    <row r="15" spans="1:4" x14ac:dyDescent="0.25">
      <c r="A15" t="s">
        <v>130</v>
      </c>
      <c r="B15" s="64">
        <f>COUNTIF(B37:B86,A15)+COUNTIF(G37:G86,A15)+COUNTIF(L37:L86,A15)+COUNTIF(Q37:Q86,A15)+COUNTIF(V37:V86,A15)</f>
        <v>5</v>
      </c>
      <c r="C15" s="65">
        <f>SUMIF(B37:B86,A15,C37:C86)+SUMIF(G37:G86,A15,H37:H86)+SUMIF(L37:L86,A15,M37:M86)+SUMIF(Q37:Q86,A15,R37:R86)+SUMIF(V37:V86,A15,W37:W86)+(SUMIF(B37:B86,A15,D37:D86)+SUMIF(G37:G86,A15,I37:I86)+SUMIF(L37:L86,A15,N37:N86)+SUMIF(Q37:Q86,A15,S37:S86)+SUMIF(V37:V86,A15,X37:X86))/Resumen!$D$1</f>
        <v>882.44833333333338</v>
      </c>
      <c r="D15" s="66">
        <f>C15*Resumen!$D$1</f>
        <v>211.7876</v>
      </c>
    </row>
    <row r="16" spans="1:4" x14ac:dyDescent="0.25">
      <c r="A16" s="67" t="s">
        <v>131</v>
      </c>
      <c r="B16" s="68">
        <f>COUNTIF(B37:B86,A16)+COUNTIF(G37:G86,A16)+COUNTIF(L37:L86,A16)+COUNTIF(Q37:Q86,A16)+COUNTIF(V37:V86,A16)</f>
        <v>0</v>
      </c>
      <c r="C16" s="69">
        <f>SUMIF(B37:B86,A16,C37:C86)+SUMIF(G37:G86,A16,H37:H86)+SUMIF(L37:L86,A16,M37:M86)+SUMIF(Q37:Q86,A16,R37:R86)+SUMIF(V37:V86,A16,W37:W86)+(SUMIF(B37:B86,A16,D37:D86)+SUMIF(G37:G86,A16,I37:I86)+SUMIF(L37:L86,A16,N37:N86)+SUMIF(Q37:Q86,A16,S37:S86)+SUMIF(V37:V86,A16,X37:X86))/Resumen!$D$1</f>
        <v>0</v>
      </c>
      <c r="D16" s="70">
        <f>C16*Resumen!$D$1</f>
        <v>0</v>
      </c>
    </row>
    <row r="17" spans="1:5" x14ac:dyDescent="0.25">
      <c r="A17" t="s">
        <v>132</v>
      </c>
      <c r="B17" s="64">
        <f>COUNTIF(B37:B86,A17)+COUNTIF(G37:G86,A17)+COUNTIF(L37:L86,A17)+COUNTIF(Q37:Q86,A17)+COUNTIF(V37:V86,A17)</f>
        <v>0</v>
      </c>
      <c r="C17" s="65">
        <f>SUMIF(B37:B86,A17,C37:C86)+SUMIF(G37:G86,A17,H37:H86)+SUMIF(L37:L86,A17,M37:M86)+SUMIF(Q37:Q86,A17,R37:R86)+SUMIF(V37:V86,A17,W37:W86)+(SUMIF(B37:B86,A17,D37:D86)+SUMIF(G37:G86,A17,I37:I86)+SUMIF(L37:L86,A17,N37:N86)+SUMIF(Q37:Q86,A17,S37:S86)+SUMIF(V37:V86,A17,X37:X86))/Resumen!$D$1</f>
        <v>0</v>
      </c>
      <c r="D17" s="66">
        <f>C17*Resumen!$D$1</f>
        <v>0</v>
      </c>
    </row>
    <row r="18" spans="1:5" x14ac:dyDescent="0.25">
      <c r="A18" s="67" t="s">
        <v>133</v>
      </c>
      <c r="B18" s="68">
        <f>COUNTIF(B37:B86,A18)+COUNTIF(G37:G86,A18)+COUNTIF(L37:L86,A18)+COUNTIF(Q37:Q86,A18)+COUNTIF(V37:V86,A18)</f>
        <v>2</v>
      </c>
      <c r="C18" s="69">
        <f>SUMIF(B37:B86,A18,C37:C86)+SUMIF(G37:G86,A18,H37:H86)+SUMIF(L37:L86,A18,M37:M86)+SUMIF(Q37:Q86,A18,R37:R86)+SUMIF(V37:V86,A18,W37:W86)+(SUMIF(B37:B86,A18,D37:D86)+SUMIF(G37:G86,A18,I37:I86)+SUMIF(L37:L86,A18,N37:N86)+SUMIF(Q37:Q86,A18,S37:S86)+SUMIF(V37:V86,A18,X37:X86))/Resumen!$D$1</f>
        <v>1096.7083333333333</v>
      </c>
      <c r="D18" s="70">
        <f>C18*Resumen!$D$1</f>
        <v>263.20999999999998</v>
      </c>
    </row>
    <row r="19" spans="1:5" x14ac:dyDescent="0.25">
      <c r="A19" t="s">
        <v>134</v>
      </c>
      <c r="B19" s="64">
        <f>COUNTIF(B37:B86,A19)+COUNTIF(G37:G86,A19)+COUNTIF(L37:L86,A19)+COUNTIF(Q37:Q86,A19)+COUNTIF(V37:V86,A19)</f>
        <v>4</v>
      </c>
      <c r="C19" s="65">
        <f>SUMIF(B37:B86,A19,C37:C86)+SUMIF(G37:G86,A19,H37:H86)+SUMIF(L37:L86,A19,M37:M86)+SUMIF(Q37:Q86,A19,R37:R86)+SUMIF(V37:V86,A19,W37:W86)+(SUMIF(B37:B86,A19,D37:D86)+SUMIF(G37:G86,A19,I37:I86)+SUMIF(L37:L86,A19,N37:N86)+SUMIF(Q37:Q86,A19,S37:S86)+SUMIF(V37:V86,A19,X37:X86))/Resumen!$D$1</f>
        <v>1537.0416666666667</v>
      </c>
      <c r="D19" s="66">
        <f>C19*Resumen!$D$1</f>
        <v>368.89</v>
      </c>
    </row>
    <row r="20" spans="1:5" x14ac:dyDescent="0.25">
      <c r="A20" s="67" t="s">
        <v>135</v>
      </c>
      <c r="B20" s="68">
        <f>COUNTIF(B37:B86,A20)+COUNTIF(G37:G86,A20)+COUNTIF(L37:L86,A20)+COUNTIF(Q37:Q86,A20)+COUNTIF(V37:V86,A20)</f>
        <v>0</v>
      </c>
      <c r="C20" s="69">
        <f>SUMIF(B37:B86,A20,C37:C86)+SUMIF(G37:G86,A20,H37:H86)+SUMIF(L37:L86,A20,M37:M86)+SUMIF(Q37:Q86,A20,R37:R86)+SUMIF(V37:V86,A20,W37:W86)+(SUMIF(B37:B86,A20,D37:D86)+SUMIF(G37:G86,A20,I37:I86)+SUMIF(L37:L86,A20,N37:N86)+SUMIF(Q37:Q86,A20,S37:S86)+SUMIF(V37:V86,A20,X37:X86))/Resumen!$D$1</f>
        <v>0</v>
      </c>
      <c r="D20" s="70">
        <f>C20*Resumen!$D$1</f>
        <v>0</v>
      </c>
    </row>
    <row r="21" spans="1:5" x14ac:dyDescent="0.25">
      <c r="A21" t="s">
        <v>109</v>
      </c>
      <c r="B21" s="64">
        <f>COUNTIF(B37:B86,A21)+COUNTIF(G37:G86,A21)+COUNTIF(L37:L86,A21)+COUNTIF(Q37:Q86,A21)+COUNTIF(V37:V86,A21)</f>
        <v>10</v>
      </c>
      <c r="C21" s="65">
        <f>SUMIF(B37:B86,A21,C37:C86)+SUMIF(G37:G86,A21,H37:H86)+SUMIF(L37:L86,A21,M37:M86)+SUMIF(Q37:Q86,A21,R37:R86)+SUMIF(V37:V86,A21,W37:W86)+(SUMIF(B37:B86,A21,D37:D86)+SUMIF(G37:G86,A21,I37:I86)+SUMIF(L37:L86,A21,N37:N86)+SUMIF(Q37:Q86,A21,S37:S86)+SUMIF(V37:V86,A21,X37:X86))/Resumen!$D$1</f>
        <v>2322.4333333333334</v>
      </c>
      <c r="D21" s="66">
        <f>C21*Resumen!$D$1</f>
        <v>557.38400000000001</v>
      </c>
    </row>
    <row r="22" spans="1:5" x14ac:dyDescent="0.25">
      <c r="A22" s="67" t="s">
        <v>136</v>
      </c>
      <c r="B22" s="68">
        <f>COUNTIF(B37:B86,A22)+COUNTIF(G37:G86,A22)+COUNTIF(L37:L86,A22)+COUNTIF(Q37:Q86,A22)+COUNTIF(V37:V86,A22)</f>
        <v>1</v>
      </c>
      <c r="C22" s="69">
        <f>SUMIF(B37:B86,A22,C37:C86)+SUMIF(G37:G86,A22,H37:H86)+SUMIF(L37:L86,A22,M37:M86)+SUMIF(Q37:Q86,A22,R37:R86)+SUMIF(V37:V86,A22,W37:W86)+(SUMIF(B37:B86,A22,D37:D86)+SUMIF(G37:G86,A22,I37:I86)+SUMIF(L37:L86,A22,N37:N86)+SUMIF(Q37:Q86,A22,S37:S86)+SUMIF(V37:V86,A22,X37:X86))/Resumen!$D$1</f>
        <v>1250</v>
      </c>
      <c r="D22" s="70">
        <f>C22*Resumen!$D$1</f>
        <v>300</v>
      </c>
    </row>
    <row r="23" spans="1:5" x14ac:dyDescent="0.25">
      <c r="A23" s="84" t="s">
        <v>229</v>
      </c>
      <c r="B23" s="85">
        <f>COUNTIF(B37:B86,A23)+COUNTIF(G37:G86,A23)+COUNTIF(L37:L86,A23)+COUNTIF(Q37:Q86,A23)+COUNTIF(V37:V86,A23)</f>
        <v>6</v>
      </c>
      <c r="C23" s="86">
        <f>SUMIF(B37:B86,A23,C37:C86)+SUMIF(G37:G86,A23,H37:H86)+SUMIF(L37:L86,A23,M37:M86)+SUMIF(Q37:Q86,A23,R37:R86)+SUMIF(V37:V86,A23,W37:W86)+(SUMIF(B37:B86,A23,D37:D86)+SUMIF(G37:G86,A23,I37:I86)+SUMIF(L37:L86,A23,N37:N86)+SUMIF(Q37:Q86,A23,S37:S86)+SUMIF(V37:V86,A23,X37:X86))/Resumen!$D$1</f>
        <v>34752.541666666664</v>
      </c>
      <c r="D23" s="70">
        <f>C23*Resumen!$D$1</f>
        <v>8340.6099999999988</v>
      </c>
    </row>
    <row r="24" spans="1:5" x14ac:dyDescent="0.25">
      <c r="A24" s="67" t="s">
        <v>230</v>
      </c>
      <c r="B24" s="68">
        <f>COUNTIF(B37:B86,A24)+COUNTIF(G37:G86,A24)+COUNTIF(L37:L86,A24)+COUNTIF(Q37:Q86,A24)+COUNTIF(V37:V86,A24)</f>
        <v>19</v>
      </c>
      <c r="C24" s="69">
        <f>SUMIF(B37:B86,A24,C37:C86)+SUMIF(G37:G86,A24,H37:H86)+SUMIF(L37:L86,A24,M37:M86)+SUMIF(Q37:Q86,A24,R37:R86)+SUMIF(V37:V86,A24,W37:W86)+(SUMIF(B37:B86,A24,D37:D86)+SUMIF(G37:G86,A24,I37:I86)+SUMIF(L37:L86,A24,N37:N86)+SUMIF(Q37:Q86,A24,S37:S86)+SUMIF(V37:V86,A24,X37:X86))/Resumen!$D$1</f>
        <v>26162.615000000002</v>
      </c>
      <c r="D24" s="70">
        <f>C24*Resumen!$D$1</f>
        <v>6279.0276000000003</v>
      </c>
    </row>
    <row r="25" spans="1:5" x14ac:dyDescent="0.25">
      <c r="A25" s="84" t="s">
        <v>231</v>
      </c>
      <c r="B25" s="85">
        <f>COUNTIF(B37:B86,A25)+COUNTIF(G37:G86,A25)+COUNTIF(L37:L86,A25)+COUNTIF(Q37:Q86,A25)+COUNTIF(V37:V86,A25)</f>
        <v>5</v>
      </c>
      <c r="C25" s="86">
        <f>SUMIF(B37:B86,A25,C37:C86)+SUMIF(G37:G86,A25,H37:H86)+SUMIF(L37:L86,A25,M37:M86)+SUMIF(Q37:Q86,A25,R37:R86)+SUMIF(V37:V86,A25,W37:W86)+(SUMIF(B37:B86,A25,D37:D86)+SUMIF(G37:G86,A25,I37:I86)+SUMIF(L37:L86,A25,N37:N86)+SUMIF(Q37:Q86,A25,S37:S86)+SUMIF(V37:V86,A25,X37:X86))/Resumen!$D$1</f>
        <v>2053.9700000000003</v>
      </c>
      <c r="D25" s="70">
        <f>C25*Resumen!$D$1</f>
        <v>492.95280000000002</v>
      </c>
    </row>
    <row r="26" spans="1:5" x14ac:dyDescent="0.25">
      <c r="A26" s="67" t="s">
        <v>232</v>
      </c>
      <c r="B26" s="68">
        <f>COUNTIF(B37:B86,A26)+COUNTIF(G37:G86,A26)+COUNTIF(L37:L86,A26)+COUNTIF(Q37:Q86,A26)+COUNTIF(V37:V86,A26)</f>
        <v>2</v>
      </c>
      <c r="C26" s="69">
        <f>SUMIF(B37:B86,A26,C37:C86)+SUMIF(G37:G86,A26,H37:H86)+SUMIF(L37:L86,A26,M37:M86)+SUMIF(Q37:Q86,A26,R37:R86)+SUMIF(V37:V86,A26,W37:W86)+(SUMIF(B37:B86,A26,D37:D86)+SUMIF(G37:G86,A26,I37:I86)+SUMIF(L37:L86,A26,N37:N86)+SUMIF(Q37:Q86,A26,S37:S86)+SUMIF(V37:V86,A26,X37:X86))/Resumen!$D$1</f>
        <v>207.125</v>
      </c>
      <c r="D26" s="70">
        <f>C26*Resumen!$D$1</f>
        <v>49.71</v>
      </c>
    </row>
    <row r="27" spans="1:5" x14ac:dyDescent="0.25">
      <c r="A27" t="s">
        <v>137</v>
      </c>
      <c r="B27" s="64">
        <f>COUNTIF(B37:B86,A27)+COUNTIF(G37:G86,A27)+COUNTIF(L37:L86,A27)+COUNTIF(Q37:Q86,A27)+COUNTIF(V37:V86,A27)</f>
        <v>1</v>
      </c>
      <c r="C27" s="65">
        <f>SUMIF(B37:B86,A27,C37:C86)+SUMIF(G37:G86,A27,H37:H86)+SUMIF(L37:L86,A27,M37:M86)+SUMIF(Q37:Q86,A27,R37:R86)+SUMIF(V37:V86,A27,W37:W86)+(SUMIF(B37:B86,A27,D37:D86)+SUMIF(G37:G86,A27,I37:I86)+SUMIF(L37:L86,A27,N37:N86)+SUMIF(Q37:Q86,A27,S37:S86)+SUMIF(V37:V86,A27,X37:X86))/Resumen!$D$1</f>
        <v>1000</v>
      </c>
      <c r="D27" s="66">
        <f>C27*Resumen!$D$1</f>
        <v>240</v>
      </c>
    </row>
    <row r="28" spans="1:5" x14ac:dyDescent="0.25">
      <c r="A28" s="67" t="s">
        <v>144</v>
      </c>
      <c r="B28" s="68">
        <f>COUNTIF(B37:B86,A28)+COUNTIF(G37:G86,A28)+COUNTIF(L37:L86,A28)+COUNTIF(Q37:Q86,A28)+COUNTIF(V37:V86,A28)</f>
        <v>0</v>
      </c>
      <c r="C28" s="69">
        <f>SUMIF(B37:B86,A28,C37:C86)+SUMIF(G37:G86,A28,H37:H86)+SUMIF(L37:L86,A28,M37:M86)+SUMIF(Q37:Q86,A28,R37:R86)+SUMIF(V37:V86,A28,W37:W86)+(SUMIF(B37:B86,A28,D37:D86)+SUMIF(G37:G86,A28,I37:I86)+SUMIF(L37:L86,A28,N37:N86)+SUMIF(Q37:Q86,A28,S37:S86)+SUMIF(V37:V86,A28,X37:X86))/Resumen!$D$1</f>
        <v>0</v>
      </c>
      <c r="D28" s="70">
        <f>C28*Resumen!$D$1</f>
        <v>0</v>
      </c>
    </row>
    <row r="29" spans="1:5" x14ac:dyDescent="0.25">
      <c r="A29" t="s">
        <v>145</v>
      </c>
      <c r="B29" s="64">
        <f>COUNTIF(B37:B86,A29)+COUNTIF(G37:G86,A29)+COUNTIF(L37:L86,A29)+COUNTIF(Q37:Q86,A29)+COUNTIF(V37:V86,A29)</f>
        <v>19</v>
      </c>
      <c r="C29" s="65">
        <f>SUMIF(B37:B86,A29,C37:C86)+SUMIF(G37:G86,A29,H37:H86)+SUMIF(L37:L86,A29,M37:M86)+SUMIF(Q37:Q86,A29,R37:R86)+SUMIF(V37:V86,A29,W37:W86)+(SUMIF(B37:B86,A29,D37:D86)+SUMIF(G37:G86,A29,I37:I86)+SUMIF(L37:L86,A29,N37:N86)+SUMIF(Q37:Q86,A29,S37:S86)+SUMIF(V37:V86,A29,X37:X86))/Resumen!$D$1</f>
        <v>3360.1300000000006</v>
      </c>
      <c r="D29" s="66">
        <f>C29*Resumen!$D$1</f>
        <v>806.4312000000001</v>
      </c>
    </row>
    <row r="30" spans="1:5" x14ac:dyDescent="0.25">
      <c r="A30" s="67" t="s">
        <v>97</v>
      </c>
      <c r="B30" s="68">
        <f>COUNTIF(B37:B86,A30)+COUNTIF(G37:G86,A30)+COUNTIF(L37:L86,A30)+COUNTIF(Q37:Q86,A30)+COUNTIF(V37:V86,A30)</f>
        <v>2</v>
      </c>
      <c r="C30" s="69">
        <f>SUMIF(B37:B86,A30,C37:C86)+SUMIF(G37:G86,A30,H37:H86)+SUMIF(L37:L86,A30,M37:M86)+SUMIF(Q37:Q86,A30,R37:R86)+SUMIF(V37:V86,A30,W37:W86)+(SUMIF(B37:B86,A30,D37:D86)+SUMIF(G37:G86,A30,I37:I86)+SUMIF(L37:L86,A30,N37:N86)+SUMIF(Q37:Q86,A30,S37:S86)+SUMIF(V37:V86,A30,X37:X86))/Resumen!$D$1</f>
        <v>36.35</v>
      </c>
      <c r="D30" s="70">
        <f>C30*Resumen!$D$1</f>
        <v>8.7240000000000002</v>
      </c>
      <c r="E30" s="87"/>
    </row>
    <row r="31" spans="1:5" x14ac:dyDescent="0.25">
      <c r="A31" t="s">
        <v>103</v>
      </c>
      <c r="B31" s="64">
        <f>COUNTIF(B37:B86,A31)+COUNTIF(G37:G86,A31)+COUNTIF(L37:L86,A31)+COUNTIF(Q37:Q86,A31)+COUNTIF(V37:V86,A31)</f>
        <v>0</v>
      </c>
      <c r="C31" s="65">
        <f>SUMIF(B37:B86,A31,C37:C86)+SUMIF(G37:G86,A31,H37:H86)+SUMIF(L37:L86,A31,M37:M86)+SUMIF(Q37:Q86,A31,R37:R86)+SUMIF(V37:V86,A31,W37:W86)+(SUMIF(B37:B86,A31,D37:D86)+SUMIF(G37:G86,A31,I37:I86)+SUMIF(L37:L86,A31,N37:N86)+SUMIF(Q37:Q86,A31,S37:S86)+SUMIF(V37:V86,A31,X37:X86))/Resumen!$D$1</f>
        <v>0</v>
      </c>
      <c r="D31" s="66">
        <f>C31*Resumen!$D$1</f>
        <v>0</v>
      </c>
    </row>
    <row r="32" spans="1:5" ht="13" x14ac:dyDescent="0.3">
      <c r="A32" s="60" t="s">
        <v>143</v>
      </c>
      <c r="B32" s="71">
        <f>SUM(B13:B31)</f>
        <v>94</v>
      </c>
      <c r="C32" s="61">
        <f>SUM(C13:C31)</f>
        <v>78371.571666666685</v>
      </c>
      <c r="D32" s="72">
        <f>SUM(D13:D31)</f>
        <v>18809.177199999995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A37" t="s">
        <v>149</v>
      </c>
      <c r="B37" t="s">
        <v>230</v>
      </c>
      <c r="C37" s="62"/>
      <c r="D37" s="63">
        <v>821.61</v>
      </c>
      <c r="E37" s="80"/>
      <c r="F37" s="57" t="s">
        <v>157</v>
      </c>
      <c r="G37" t="s">
        <v>48</v>
      </c>
      <c r="H37" s="62"/>
      <c r="I37" s="63">
        <v>156.91999999999999</v>
      </c>
      <c r="J37" s="80"/>
      <c r="K37" s="57" t="s">
        <v>213</v>
      </c>
      <c r="L37" t="s">
        <v>134</v>
      </c>
      <c r="M37" s="62"/>
      <c r="N37" s="63">
        <v>220.9</v>
      </c>
      <c r="O37" s="80">
        <v>46158</v>
      </c>
      <c r="P37" s="57"/>
      <c r="R37" s="62"/>
      <c r="S37" s="63"/>
      <c r="T37" s="80"/>
      <c r="U37" s="57"/>
      <c r="W37" s="62"/>
      <c r="X37" s="63"/>
    </row>
    <row r="38" spans="1:24" x14ac:dyDescent="0.25">
      <c r="A38" t="s">
        <v>150</v>
      </c>
      <c r="B38" t="s">
        <v>230</v>
      </c>
      <c r="C38" s="62"/>
      <c r="D38" s="63">
        <v>258.14999999999998</v>
      </c>
      <c r="E38" s="80"/>
      <c r="F38" s="57" t="s">
        <v>158</v>
      </c>
      <c r="G38" t="s">
        <v>230</v>
      </c>
      <c r="H38" s="62"/>
      <c r="I38" s="63">
        <v>258.14999999999998</v>
      </c>
      <c r="J38" s="80"/>
      <c r="K38" s="57" t="s">
        <v>214</v>
      </c>
      <c r="L38" t="s">
        <v>48</v>
      </c>
      <c r="M38" s="62"/>
      <c r="N38" s="63">
        <v>152.91999999999999</v>
      </c>
      <c r="O38" s="80">
        <v>46158</v>
      </c>
      <c r="P38" s="57"/>
      <c r="R38" s="62"/>
      <c r="S38" s="63"/>
      <c r="T38" s="80"/>
      <c r="U38" s="57"/>
      <c r="W38" s="62"/>
      <c r="X38" s="63"/>
    </row>
    <row r="39" spans="1:24" x14ac:dyDescent="0.25">
      <c r="A39" t="s">
        <v>151</v>
      </c>
      <c r="B39" t="s">
        <v>230</v>
      </c>
      <c r="C39" s="62"/>
      <c r="D39" s="63">
        <v>333.67</v>
      </c>
      <c r="E39" s="80"/>
      <c r="F39" s="57" t="s">
        <v>90</v>
      </c>
      <c r="G39" t="s">
        <v>145</v>
      </c>
      <c r="H39" s="62"/>
      <c r="I39" s="63">
        <v>41.99</v>
      </c>
      <c r="J39" s="80"/>
      <c r="K39" s="57" t="s">
        <v>215</v>
      </c>
      <c r="L39" s="62" t="s">
        <v>145</v>
      </c>
      <c r="N39" s="63">
        <v>92.39</v>
      </c>
      <c r="O39" s="80">
        <v>46159</v>
      </c>
      <c r="P39" s="57"/>
      <c r="R39" s="62"/>
      <c r="S39" s="63"/>
      <c r="T39" s="80"/>
      <c r="U39" s="57"/>
      <c r="W39" s="62"/>
      <c r="X39" s="63"/>
    </row>
    <row r="40" spans="1:24" x14ac:dyDescent="0.25">
      <c r="A40" t="s">
        <v>152</v>
      </c>
      <c r="B40" t="s">
        <v>230</v>
      </c>
      <c r="C40" s="62"/>
      <c r="D40" s="63">
        <v>84</v>
      </c>
      <c r="E40" s="80"/>
      <c r="F40" s="57" t="s">
        <v>90</v>
      </c>
      <c r="G40" t="s">
        <v>145</v>
      </c>
      <c r="H40" s="62"/>
      <c r="I40" s="63">
        <v>5.36</v>
      </c>
      <c r="J40" s="80"/>
      <c r="K40" s="57" t="s">
        <v>215</v>
      </c>
      <c r="L40" s="62" t="s">
        <v>145</v>
      </c>
      <c r="N40" s="63">
        <v>36.47</v>
      </c>
      <c r="O40" s="80">
        <v>46160</v>
      </c>
      <c r="P40" s="57"/>
      <c r="R40" s="62"/>
      <c r="S40" s="63"/>
      <c r="T40" s="80"/>
      <c r="U40" s="57"/>
      <c r="W40" s="62"/>
      <c r="X40" s="63"/>
    </row>
    <row r="41" spans="1:24" x14ac:dyDescent="0.25">
      <c r="A41" t="s">
        <v>153</v>
      </c>
      <c r="B41" t="s">
        <v>230</v>
      </c>
      <c r="C41" s="62"/>
      <c r="D41" s="63">
        <v>57.72</v>
      </c>
      <c r="E41" s="80"/>
      <c r="F41" s="57" t="s">
        <v>90</v>
      </c>
      <c r="G41" t="s">
        <v>145</v>
      </c>
      <c r="H41" s="62"/>
      <c r="I41" s="63">
        <v>52.02</v>
      </c>
      <c r="J41" s="80"/>
      <c r="K41" s="57" t="s">
        <v>210</v>
      </c>
      <c r="L41" t="s">
        <v>232</v>
      </c>
      <c r="M41" s="62"/>
      <c r="N41" s="63">
        <v>14.33</v>
      </c>
      <c r="O41" s="80">
        <v>46161</v>
      </c>
      <c r="P41" s="57"/>
      <c r="R41" s="62"/>
      <c r="S41" s="63"/>
      <c r="T41" s="80"/>
      <c r="U41" s="57"/>
      <c r="W41" s="62"/>
      <c r="X41" s="63"/>
    </row>
    <row r="42" spans="1:24" x14ac:dyDescent="0.25">
      <c r="A42" t="s">
        <v>154</v>
      </c>
      <c r="B42" t="s">
        <v>230</v>
      </c>
      <c r="C42" s="62"/>
      <c r="D42" s="63">
        <v>370.78</v>
      </c>
      <c r="E42" s="80"/>
      <c r="F42" s="57" t="s">
        <v>158</v>
      </c>
      <c r="G42" t="s">
        <v>230</v>
      </c>
      <c r="H42" s="62"/>
      <c r="I42" s="63">
        <v>426.48</v>
      </c>
      <c r="J42" s="80"/>
      <c r="K42" s="57" t="s">
        <v>215</v>
      </c>
      <c r="L42" s="62" t="s">
        <v>145</v>
      </c>
      <c r="N42" s="63">
        <v>92.58</v>
      </c>
      <c r="O42" s="80">
        <v>46163</v>
      </c>
      <c r="P42" s="57"/>
      <c r="R42" s="62"/>
      <c r="S42" s="63"/>
      <c r="T42" s="80"/>
      <c r="U42" s="57"/>
      <c r="W42" s="62"/>
      <c r="X42" s="63"/>
    </row>
    <row r="43" spans="1:24" x14ac:dyDescent="0.25">
      <c r="A43" t="s">
        <v>155</v>
      </c>
      <c r="B43" t="s">
        <v>230</v>
      </c>
      <c r="C43" s="62"/>
      <c r="D43" s="63">
        <v>71.8</v>
      </c>
      <c r="E43" s="80"/>
      <c r="F43" s="57" t="s">
        <v>159</v>
      </c>
      <c r="G43" t="s">
        <v>134</v>
      </c>
      <c r="H43" s="62"/>
      <c r="I43" s="63">
        <v>11.59</v>
      </c>
      <c r="J43" s="80"/>
      <c r="K43" s="57" t="s">
        <v>216</v>
      </c>
      <c r="L43" s="62" t="s">
        <v>130</v>
      </c>
      <c r="M43" s="62"/>
      <c r="N43" s="63">
        <v>109.08</v>
      </c>
      <c r="O43" s="80">
        <v>46164</v>
      </c>
      <c r="P43" s="57"/>
      <c r="R43" s="62"/>
      <c r="S43" s="63"/>
      <c r="T43" s="80"/>
      <c r="U43" s="57"/>
      <c r="W43" s="62"/>
      <c r="X43" s="63"/>
    </row>
    <row r="44" spans="1:24" x14ac:dyDescent="0.25">
      <c r="A44" t="s">
        <v>156</v>
      </c>
      <c r="B44" t="s">
        <v>230</v>
      </c>
      <c r="C44" s="62"/>
      <c r="D44" s="63">
        <v>563.28</v>
      </c>
      <c r="E44" s="80"/>
      <c r="F44" s="57" t="s">
        <v>160</v>
      </c>
      <c r="G44" t="s">
        <v>230</v>
      </c>
      <c r="H44" s="62"/>
      <c r="I44" s="63">
        <v>367.7</v>
      </c>
      <c r="J44" s="80"/>
      <c r="K44" s="57" t="s">
        <v>217</v>
      </c>
      <c r="L44" s="62" t="s">
        <v>130</v>
      </c>
      <c r="M44" s="62"/>
      <c r="N44" s="63">
        <v>17.190000000000001</v>
      </c>
      <c r="O44" s="80">
        <v>46165</v>
      </c>
      <c r="P44" s="57"/>
      <c r="R44" s="62"/>
      <c r="S44" s="63"/>
      <c r="T44" s="80"/>
      <c r="U44" s="57"/>
      <c r="W44" s="62"/>
      <c r="X44" s="63"/>
    </row>
    <row r="45" spans="1:24" x14ac:dyDescent="0.25">
      <c r="A45" t="s">
        <v>165</v>
      </c>
      <c r="B45" t="s">
        <v>231</v>
      </c>
      <c r="C45" s="62">
        <v>870</v>
      </c>
      <c r="D45" s="63"/>
      <c r="E45" s="80"/>
      <c r="F45" s="57" t="s">
        <v>90</v>
      </c>
      <c r="G45" t="s">
        <v>145</v>
      </c>
      <c r="H45" s="62"/>
      <c r="I45" s="63">
        <v>20.48</v>
      </c>
      <c r="J45" s="80"/>
      <c r="K45" s="57" t="s">
        <v>218</v>
      </c>
      <c r="L45" s="62" t="s">
        <v>48</v>
      </c>
      <c r="M45" s="62"/>
      <c r="N45" s="63">
        <v>46.56</v>
      </c>
      <c r="O45" s="80">
        <v>46165</v>
      </c>
      <c r="P45" s="57"/>
      <c r="R45" s="62"/>
      <c r="S45" s="63"/>
      <c r="T45" s="80"/>
      <c r="U45" s="57"/>
      <c r="W45" s="62"/>
      <c r="X45" s="63"/>
    </row>
    <row r="46" spans="1:24" x14ac:dyDescent="0.25">
      <c r="A46" t="s">
        <v>166</v>
      </c>
      <c r="B46" t="s">
        <v>48</v>
      </c>
      <c r="C46" s="62">
        <v>250</v>
      </c>
      <c r="D46" s="63"/>
      <c r="E46" s="80"/>
      <c r="F46" s="57" t="s">
        <v>90</v>
      </c>
      <c r="G46" t="s">
        <v>145</v>
      </c>
      <c r="H46" s="62"/>
      <c r="I46" s="63">
        <v>19.440000000000001</v>
      </c>
      <c r="J46" s="80"/>
      <c r="K46" s="57" t="s">
        <v>219</v>
      </c>
      <c r="L46" s="62" t="s">
        <v>109</v>
      </c>
      <c r="M46" s="62"/>
      <c r="N46" s="63">
        <v>126.35</v>
      </c>
      <c r="O46" s="80">
        <v>46167</v>
      </c>
      <c r="P46" s="57"/>
      <c r="R46" s="62"/>
      <c r="S46" s="63"/>
      <c r="T46" s="80"/>
      <c r="U46" s="57"/>
      <c r="W46" s="62"/>
      <c r="X46" s="63"/>
    </row>
    <row r="47" spans="1:24" x14ac:dyDescent="0.25">
      <c r="A47" t="s">
        <v>100</v>
      </c>
      <c r="B47" t="s">
        <v>48</v>
      </c>
      <c r="C47" s="62">
        <v>35</v>
      </c>
      <c r="D47" s="63"/>
      <c r="E47" s="80"/>
      <c r="F47" s="57" t="s">
        <v>161</v>
      </c>
      <c r="G47" t="s">
        <v>130</v>
      </c>
      <c r="H47" s="62"/>
      <c r="I47" s="63">
        <v>13.58</v>
      </c>
      <c r="J47" s="80"/>
      <c r="K47" s="57" t="s">
        <v>146</v>
      </c>
      <c r="L47" s="62" t="s">
        <v>134</v>
      </c>
      <c r="M47" s="62"/>
      <c r="N47" s="63">
        <v>36.590000000000003</v>
      </c>
      <c r="O47" s="80">
        <v>46160</v>
      </c>
      <c r="P47" s="57"/>
      <c r="R47" s="62"/>
      <c r="S47" s="63"/>
      <c r="T47" s="80"/>
      <c r="U47" s="57"/>
      <c r="W47" s="62"/>
      <c r="X47" s="63"/>
    </row>
    <row r="48" spans="1:24" x14ac:dyDescent="0.25">
      <c r="A48" t="s">
        <v>167</v>
      </c>
      <c r="B48" t="s">
        <v>231</v>
      </c>
      <c r="C48" s="62">
        <v>6</v>
      </c>
      <c r="D48" s="63"/>
      <c r="E48" s="80"/>
      <c r="F48" s="57" t="s">
        <v>108</v>
      </c>
      <c r="G48" t="s">
        <v>109</v>
      </c>
      <c r="H48" s="62"/>
      <c r="I48" s="63">
        <v>5.44</v>
      </c>
      <c r="J48" s="80"/>
      <c r="K48" s="57" t="s">
        <v>220</v>
      </c>
      <c r="L48" s="62" t="s">
        <v>133</v>
      </c>
      <c r="M48" s="62"/>
      <c r="N48" s="63">
        <v>21.99</v>
      </c>
      <c r="O48" s="80">
        <v>46161</v>
      </c>
      <c r="P48" s="57"/>
      <c r="R48" s="62"/>
      <c r="S48" s="63"/>
      <c r="T48" s="80"/>
      <c r="U48" s="57"/>
      <c r="W48" s="62"/>
      <c r="X48" s="63"/>
    </row>
    <row r="49" spans="1:24" x14ac:dyDescent="0.25">
      <c r="A49" t="s">
        <v>90</v>
      </c>
      <c r="B49" t="s">
        <v>145</v>
      </c>
      <c r="C49" s="62">
        <v>24.59</v>
      </c>
      <c r="D49" s="63"/>
      <c r="E49" s="80"/>
      <c r="F49" s="57" t="s">
        <v>162</v>
      </c>
      <c r="G49" t="s">
        <v>133</v>
      </c>
      <c r="H49" s="62"/>
      <c r="I49" s="63">
        <v>241.22</v>
      </c>
      <c r="J49" s="80"/>
      <c r="K49" s="57" t="s">
        <v>221</v>
      </c>
      <c r="L49" s="62" t="s">
        <v>136</v>
      </c>
      <c r="M49" s="62"/>
      <c r="N49" s="63">
        <v>300</v>
      </c>
      <c r="O49" s="80">
        <v>46162</v>
      </c>
      <c r="P49" s="57"/>
      <c r="R49" s="62"/>
      <c r="S49" s="63"/>
      <c r="T49" s="80"/>
      <c r="U49" s="57"/>
      <c r="W49" s="62"/>
      <c r="X49" s="63"/>
    </row>
    <row r="50" spans="1:24" x14ac:dyDescent="0.25">
      <c r="A50" t="s">
        <v>108</v>
      </c>
      <c r="B50" t="s">
        <v>109</v>
      </c>
      <c r="C50" s="62">
        <v>19.899999999999999</v>
      </c>
      <c r="D50" s="63"/>
      <c r="E50" s="80"/>
      <c r="F50" s="57" t="s">
        <v>90</v>
      </c>
      <c r="G50" t="s">
        <v>145</v>
      </c>
      <c r="H50" s="62"/>
      <c r="I50" s="63">
        <v>35.35</v>
      </c>
      <c r="J50" s="80"/>
      <c r="K50" s="57" t="s">
        <v>222</v>
      </c>
      <c r="L50" s="62" t="s">
        <v>130</v>
      </c>
      <c r="M50" s="62"/>
      <c r="N50" s="63">
        <v>34.979999999999997</v>
      </c>
      <c r="O50" s="80">
        <v>46163</v>
      </c>
      <c r="P50" s="57"/>
      <c r="R50" s="62"/>
      <c r="S50" s="63"/>
      <c r="T50" s="80"/>
      <c r="U50" s="57"/>
      <c r="W50" s="62"/>
      <c r="X50" s="63"/>
    </row>
    <row r="51" spans="1:24" x14ac:dyDescent="0.25">
      <c r="A51" t="s">
        <v>168</v>
      </c>
      <c r="B51" t="s">
        <v>229</v>
      </c>
      <c r="C51" s="62">
        <v>20000</v>
      </c>
      <c r="D51" s="63"/>
      <c r="E51" s="80"/>
      <c r="F51" s="57" t="s">
        <v>167</v>
      </c>
      <c r="G51" t="s">
        <v>231</v>
      </c>
      <c r="H51" s="62">
        <v>5</v>
      </c>
      <c r="I51" s="63"/>
      <c r="J51" s="80"/>
      <c r="K51" s="57" t="s">
        <v>223</v>
      </c>
      <c r="L51" s="62" t="s">
        <v>109</v>
      </c>
      <c r="M51" s="62"/>
      <c r="N51" s="63">
        <v>253.52</v>
      </c>
      <c r="O51" s="80">
        <v>46167</v>
      </c>
      <c r="P51" s="57"/>
      <c r="R51" s="62"/>
      <c r="S51" s="63"/>
      <c r="T51" s="80"/>
      <c r="U51" s="57"/>
      <c r="W51" s="62"/>
      <c r="X51" s="63"/>
    </row>
    <row r="52" spans="1:24" ht="14" x14ac:dyDescent="0.3">
      <c r="A52" t="s">
        <v>112</v>
      </c>
      <c r="B52" t="s">
        <v>109</v>
      </c>
      <c r="C52" s="62">
        <v>48.3</v>
      </c>
      <c r="D52" s="63"/>
      <c r="E52" s="80"/>
      <c r="F52" s="75" t="s">
        <v>174</v>
      </c>
      <c r="G52" s="76" t="s">
        <v>137</v>
      </c>
      <c r="H52" s="77">
        <v>1000</v>
      </c>
      <c r="I52" s="78"/>
      <c r="J52" s="81"/>
      <c r="K52" s="57" t="s">
        <v>224</v>
      </c>
      <c r="L52" s="62" t="s">
        <v>48</v>
      </c>
      <c r="M52" s="62"/>
      <c r="N52" s="63">
        <v>144.41999999999999</v>
      </c>
      <c r="O52" s="80">
        <v>46161</v>
      </c>
      <c r="P52" s="57"/>
      <c r="R52" s="62"/>
      <c r="S52" s="63"/>
      <c r="T52" s="80"/>
      <c r="U52" s="57"/>
      <c r="W52" s="62"/>
      <c r="X52" s="63"/>
    </row>
    <row r="53" spans="1:24" x14ac:dyDescent="0.25">
      <c r="A53" t="s">
        <v>169</v>
      </c>
      <c r="B53" t="s">
        <v>129</v>
      </c>
      <c r="C53" s="62">
        <v>400</v>
      </c>
      <c r="D53" s="63"/>
      <c r="E53" s="80"/>
      <c r="F53" s="57" t="s">
        <v>175</v>
      </c>
      <c r="G53" t="s">
        <v>229</v>
      </c>
      <c r="H53" s="62">
        <v>500</v>
      </c>
      <c r="I53" s="63"/>
      <c r="J53" s="80"/>
      <c r="K53" s="57" t="s">
        <v>225</v>
      </c>
      <c r="L53" s="62" t="s">
        <v>230</v>
      </c>
      <c r="M53" s="62"/>
      <c r="N53" s="63">
        <v>432.86</v>
      </c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A54" t="s">
        <v>108</v>
      </c>
      <c r="B54" t="s">
        <v>109</v>
      </c>
      <c r="C54" s="62">
        <v>80.7</v>
      </c>
      <c r="D54" s="63"/>
      <c r="E54" s="80"/>
      <c r="F54" s="57" t="s">
        <v>176</v>
      </c>
      <c r="G54" t="s">
        <v>229</v>
      </c>
      <c r="H54" s="62">
        <v>5040</v>
      </c>
      <c r="I54" s="63"/>
      <c r="J54" s="80"/>
      <c r="K54" s="57" t="s">
        <v>226</v>
      </c>
      <c r="L54" s="62" t="s">
        <v>230</v>
      </c>
      <c r="M54" s="62"/>
      <c r="N54" s="63">
        <v>569.92999999999995</v>
      </c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A55" t="s">
        <v>170</v>
      </c>
      <c r="B55" t="s">
        <v>48</v>
      </c>
      <c r="C55" s="62">
        <v>41</v>
      </c>
      <c r="D55" s="63"/>
      <c r="E55" s="80"/>
      <c r="F55" s="57" t="s">
        <v>177</v>
      </c>
      <c r="G55" t="s">
        <v>109</v>
      </c>
      <c r="H55" s="62">
        <v>7.7</v>
      </c>
      <c r="I55" s="63"/>
      <c r="J55" s="80"/>
      <c r="K55" s="57" t="s">
        <v>227</v>
      </c>
      <c r="L55" s="62" t="s">
        <v>48</v>
      </c>
      <c r="M55" s="62"/>
      <c r="N55" s="63">
        <v>113.51</v>
      </c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A56" t="s">
        <v>171</v>
      </c>
      <c r="B56" t="s">
        <v>48</v>
      </c>
      <c r="C56" s="62">
        <v>18</v>
      </c>
      <c r="D56" s="63"/>
      <c r="E56" s="80"/>
      <c r="F56" s="57" t="s">
        <v>175</v>
      </c>
      <c r="G56" t="s">
        <v>229</v>
      </c>
      <c r="H56" s="62">
        <v>1200</v>
      </c>
      <c r="I56" s="63"/>
      <c r="J56" s="80"/>
      <c r="K56" s="57" t="s">
        <v>228</v>
      </c>
      <c r="L56" s="62" t="s">
        <v>230</v>
      </c>
      <c r="M56" s="62"/>
      <c r="N56" s="63">
        <v>705.88</v>
      </c>
      <c r="O56" s="80">
        <v>46167</v>
      </c>
      <c r="P56" s="57"/>
      <c r="R56" s="62"/>
      <c r="S56" s="63"/>
      <c r="T56" s="80"/>
      <c r="U56" s="57"/>
      <c r="W56" s="62"/>
      <c r="X56" s="63"/>
    </row>
    <row r="57" spans="1:24" x14ac:dyDescent="0.25">
      <c r="A57" t="s">
        <v>172</v>
      </c>
      <c r="B57" t="s">
        <v>231</v>
      </c>
      <c r="C57" s="62">
        <v>247.97</v>
      </c>
      <c r="D57" s="63"/>
      <c r="E57" s="80"/>
      <c r="F57" s="57" t="s">
        <v>108</v>
      </c>
      <c r="G57" t="s">
        <v>109</v>
      </c>
      <c r="H57" s="62">
        <v>7.7</v>
      </c>
      <c r="I57" s="63"/>
      <c r="J57" s="80"/>
      <c r="K57" s="57"/>
      <c r="M57" s="62"/>
      <c r="N57" s="63"/>
      <c r="O57" s="80"/>
      <c r="P57" s="57"/>
      <c r="R57" s="62"/>
      <c r="S57" s="63"/>
      <c r="T57" s="80"/>
      <c r="U57" s="57"/>
      <c r="W57" s="62"/>
      <c r="X57" s="63"/>
    </row>
    <row r="58" spans="1:24" x14ac:dyDescent="0.25">
      <c r="A58" t="s">
        <v>173</v>
      </c>
      <c r="B58" t="s">
        <v>48</v>
      </c>
      <c r="C58" s="62">
        <v>53</v>
      </c>
      <c r="D58" s="63"/>
      <c r="E58" s="80"/>
      <c r="F58" s="57" t="s">
        <v>178</v>
      </c>
      <c r="G58" t="s">
        <v>97</v>
      </c>
      <c r="H58" s="62">
        <v>14.5</v>
      </c>
      <c r="I58" s="63"/>
      <c r="J58" s="80"/>
      <c r="K58" s="57"/>
      <c r="M58" s="62"/>
      <c r="N58" s="63"/>
      <c r="O58" s="80"/>
      <c r="P58" s="57"/>
      <c r="R58" s="62"/>
      <c r="S58" s="63"/>
      <c r="T58" s="80"/>
      <c r="U58" s="57"/>
      <c r="W58" s="62"/>
      <c r="X58" s="63"/>
    </row>
    <row r="59" spans="1:24" x14ac:dyDescent="0.25">
      <c r="A59" t="s">
        <v>202</v>
      </c>
      <c r="B59" t="s">
        <v>229</v>
      </c>
      <c r="C59" s="62"/>
      <c r="D59" s="63">
        <v>1840.21</v>
      </c>
      <c r="E59" s="80"/>
      <c r="F59" s="57" t="s">
        <v>179</v>
      </c>
      <c r="G59" t="s">
        <v>48</v>
      </c>
      <c r="H59" s="62">
        <v>65</v>
      </c>
      <c r="I59" s="63"/>
      <c r="J59" s="80"/>
      <c r="K59" s="57"/>
      <c r="M59" s="62"/>
      <c r="N59" s="63"/>
      <c r="O59" s="80"/>
      <c r="P59" s="57"/>
      <c r="R59" s="62"/>
      <c r="S59" s="63"/>
      <c r="T59" s="80"/>
      <c r="U59" s="57"/>
      <c r="W59" s="62"/>
      <c r="X59" s="63"/>
    </row>
    <row r="60" spans="1:24" x14ac:dyDescent="0.25">
      <c r="A60" t="s">
        <v>203</v>
      </c>
      <c r="B60" t="s">
        <v>229</v>
      </c>
      <c r="C60" s="62"/>
      <c r="D60" s="63">
        <v>82.8</v>
      </c>
      <c r="E60" s="80"/>
      <c r="F60" s="57" t="s">
        <v>180</v>
      </c>
      <c r="G60" t="s">
        <v>48</v>
      </c>
      <c r="H60" s="62">
        <v>65</v>
      </c>
      <c r="I60" s="63"/>
      <c r="J60" s="80"/>
      <c r="K60" s="57"/>
      <c r="M60" s="62"/>
      <c r="N60" s="63"/>
      <c r="O60" s="80"/>
      <c r="P60" s="57"/>
      <c r="R60" s="62"/>
      <c r="S60" s="63"/>
      <c r="T60" s="80"/>
      <c r="U60" s="57"/>
      <c r="W60" s="62"/>
      <c r="X60" s="63"/>
    </row>
    <row r="61" spans="1:24" x14ac:dyDescent="0.25">
      <c r="A61" t="s">
        <v>90</v>
      </c>
      <c r="B61" t="s">
        <v>145</v>
      </c>
      <c r="C61" s="62"/>
      <c r="D61" s="63">
        <v>18.850000000000001</v>
      </c>
      <c r="E61" s="80"/>
      <c r="F61" s="57" t="s">
        <v>161</v>
      </c>
      <c r="G61" t="s">
        <v>130</v>
      </c>
      <c r="H61" s="62">
        <v>153.99</v>
      </c>
      <c r="I61" s="63"/>
      <c r="J61" s="80"/>
      <c r="K61" s="57"/>
      <c r="M61" s="62"/>
      <c r="N61" s="63"/>
      <c r="O61" s="80"/>
      <c r="P61" s="57"/>
      <c r="R61" s="62"/>
      <c r="S61" s="63"/>
      <c r="T61" s="80"/>
      <c r="U61" s="57"/>
      <c r="W61" s="62"/>
      <c r="X61" s="63"/>
    </row>
    <row r="62" spans="1:24" x14ac:dyDescent="0.25">
      <c r="A62" t="s">
        <v>90</v>
      </c>
      <c r="B62" t="s">
        <v>145</v>
      </c>
      <c r="C62" s="62"/>
      <c r="D62" s="63">
        <v>12.77</v>
      </c>
      <c r="E62" s="80"/>
      <c r="F62" s="57" t="s">
        <v>90</v>
      </c>
      <c r="G62" t="s">
        <v>145</v>
      </c>
      <c r="H62" s="62">
        <v>23.94</v>
      </c>
      <c r="I62" s="63"/>
      <c r="J62" s="80"/>
      <c r="K62" s="57"/>
      <c r="M62" s="62"/>
      <c r="N62" s="63"/>
      <c r="O62" s="80"/>
      <c r="P62" s="57"/>
      <c r="R62" s="62"/>
      <c r="S62" s="63"/>
      <c r="T62" s="80"/>
      <c r="U62" s="57"/>
      <c r="W62" s="62"/>
      <c r="X62" s="63"/>
    </row>
    <row r="63" spans="1:24" x14ac:dyDescent="0.25">
      <c r="C63" s="62"/>
      <c r="D63" s="63"/>
      <c r="E63" s="80"/>
      <c r="F63" s="57" t="s">
        <v>181</v>
      </c>
      <c r="G63" t="s">
        <v>230</v>
      </c>
      <c r="H63" s="62">
        <v>931</v>
      </c>
      <c r="I63" s="63"/>
      <c r="J63" s="80"/>
      <c r="K63" s="57"/>
      <c r="M63" s="62"/>
      <c r="N63" s="63"/>
      <c r="O63" s="80"/>
      <c r="P63" s="57"/>
      <c r="R63" s="62"/>
      <c r="S63" s="63"/>
      <c r="T63" s="80"/>
      <c r="U63" s="57"/>
      <c r="W63" s="62"/>
      <c r="X63" s="63"/>
    </row>
    <row r="64" spans="1:24" x14ac:dyDescent="0.25">
      <c r="C64" s="62"/>
      <c r="D64" s="63"/>
      <c r="E64" s="80"/>
      <c r="F64" s="57" t="s">
        <v>181</v>
      </c>
      <c r="G64" t="s">
        <v>230</v>
      </c>
      <c r="H64" s="62">
        <v>358</v>
      </c>
      <c r="I64" s="63"/>
      <c r="J64" s="80"/>
      <c r="K64" s="57"/>
      <c r="M64" s="62"/>
      <c r="N64" s="63"/>
      <c r="O64" s="80"/>
      <c r="P64" s="57"/>
      <c r="R64" s="62"/>
      <c r="S64" s="63"/>
      <c r="T64" s="80"/>
      <c r="U64" s="57"/>
      <c r="W64" s="62"/>
      <c r="X64" s="63"/>
    </row>
    <row r="65" spans="3:24" x14ac:dyDescent="0.25">
      <c r="C65" s="62"/>
      <c r="D65" s="63"/>
      <c r="E65" s="80"/>
      <c r="F65" s="57" t="s">
        <v>182</v>
      </c>
      <c r="G65" t="s">
        <v>48</v>
      </c>
      <c r="H65" s="62">
        <v>10</v>
      </c>
      <c r="I65" s="63"/>
      <c r="J65" s="80"/>
      <c r="K65" s="57"/>
      <c r="M65" s="62"/>
      <c r="N65" s="63"/>
      <c r="O65" s="80"/>
      <c r="P65" s="57"/>
      <c r="R65" s="62"/>
      <c r="S65" s="63"/>
      <c r="T65" s="80"/>
      <c r="U65" s="57"/>
      <c r="W65" s="62"/>
      <c r="X65" s="63"/>
    </row>
    <row r="66" spans="3:24" x14ac:dyDescent="0.25">
      <c r="C66" s="62"/>
      <c r="D66" s="63"/>
      <c r="E66" s="80"/>
      <c r="F66" s="57" t="s">
        <v>183</v>
      </c>
      <c r="G66" t="s">
        <v>230</v>
      </c>
      <c r="H66" s="62">
        <v>620.49</v>
      </c>
      <c r="I66" s="63"/>
      <c r="J66" s="80"/>
      <c r="K66" s="57"/>
      <c r="M66" s="62"/>
      <c r="N66" s="63"/>
      <c r="O66" s="80"/>
      <c r="P66" s="57"/>
      <c r="R66" s="62"/>
      <c r="S66" s="63"/>
      <c r="T66" s="80"/>
      <c r="U66" s="57"/>
      <c r="W66" s="62"/>
      <c r="X66" s="63"/>
    </row>
    <row r="67" spans="3:24" x14ac:dyDescent="0.25">
      <c r="C67" s="62"/>
      <c r="D67" s="63"/>
      <c r="E67" s="80"/>
      <c r="F67" s="57" t="s">
        <v>90</v>
      </c>
      <c r="G67" t="s">
        <v>145</v>
      </c>
      <c r="H67" s="62">
        <v>34</v>
      </c>
      <c r="I67" s="63"/>
      <c r="J67" s="80"/>
      <c r="K67" s="57"/>
      <c r="M67" s="62"/>
      <c r="N67" s="63"/>
      <c r="O67" s="80"/>
      <c r="P67" s="57"/>
      <c r="R67" s="62"/>
      <c r="S67" s="63"/>
      <c r="T67" s="80"/>
      <c r="U67" s="57"/>
      <c r="W67" s="62"/>
      <c r="X67" s="63"/>
    </row>
    <row r="68" spans="3:24" x14ac:dyDescent="0.25">
      <c r="C68" s="62"/>
      <c r="D68" s="63"/>
      <c r="E68" s="80"/>
      <c r="F68" s="57" t="s">
        <v>184</v>
      </c>
      <c r="G68" t="s">
        <v>48</v>
      </c>
      <c r="H68" s="62">
        <v>9.5</v>
      </c>
      <c r="I68" s="63"/>
      <c r="J68" s="80"/>
      <c r="K68" s="57"/>
      <c r="M68" s="62"/>
      <c r="N68" s="63"/>
      <c r="O68" s="80"/>
      <c r="P68" s="57"/>
      <c r="R68" s="62"/>
      <c r="S68" s="63"/>
      <c r="T68" s="80"/>
      <c r="U68" s="57"/>
      <c r="W68" s="62"/>
      <c r="X68" s="63"/>
    </row>
    <row r="69" spans="3:24" x14ac:dyDescent="0.25">
      <c r="C69" s="62"/>
      <c r="D69" s="63"/>
      <c r="E69" s="80"/>
      <c r="F69" s="57" t="s">
        <v>185</v>
      </c>
      <c r="G69" t="s">
        <v>48</v>
      </c>
      <c r="H69" s="62">
        <v>32</v>
      </c>
      <c r="I69" s="63"/>
      <c r="J69" s="80"/>
      <c r="K69" s="57"/>
      <c r="M69" s="62"/>
      <c r="N69" s="63"/>
      <c r="O69" s="80"/>
      <c r="P69" s="57"/>
      <c r="R69" s="62"/>
      <c r="S69" s="63"/>
      <c r="T69" s="80"/>
      <c r="U69" s="57"/>
      <c r="W69" s="62"/>
      <c r="X69" s="63"/>
    </row>
    <row r="70" spans="3:24" x14ac:dyDescent="0.25">
      <c r="C70" s="62"/>
      <c r="D70" s="63"/>
      <c r="E70" s="80"/>
      <c r="F70" s="57" t="s">
        <v>186</v>
      </c>
      <c r="G70" t="s">
        <v>48</v>
      </c>
      <c r="H70" s="62">
        <v>146</v>
      </c>
      <c r="I70" s="63"/>
      <c r="J70" s="80"/>
      <c r="K70" s="57"/>
      <c r="M70" s="62"/>
      <c r="N70" s="63"/>
      <c r="O70" s="80"/>
      <c r="P70" s="57"/>
      <c r="R70" s="62"/>
      <c r="S70" s="63"/>
      <c r="T70" s="80"/>
      <c r="U70" s="57"/>
      <c r="W70" s="62"/>
      <c r="X70" s="63"/>
    </row>
    <row r="71" spans="3:24" x14ac:dyDescent="0.25">
      <c r="C71" s="62"/>
      <c r="D71" s="63"/>
      <c r="E71" s="80"/>
      <c r="F71" s="57" t="s">
        <v>187</v>
      </c>
      <c r="G71" t="s">
        <v>145</v>
      </c>
      <c r="H71" s="62">
        <v>159.1</v>
      </c>
      <c r="I71" s="63"/>
      <c r="J71" s="80"/>
      <c r="K71" s="57"/>
      <c r="M71" s="62"/>
      <c r="N71" s="63"/>
      <c r="O71" s="80"/>
      <c r="P71" s="57"/>
      <c r="R71" s="62"/>
      <c r="S71" s="63"/>
      <c r="T71" s="80"/>
      <c r="U71" s="57"/>
      <c r="W71" s="62"/>
      <c r="X71" s="63"/>
    </row>
    <row r="72" spans="3:24" x14ac:dyDescent="0.25">
      <c r="C72" s="62"/>
      <c r="D72" s="63"/>
      <c r="E72" s="80"/>
      <c r="F72" s="57" t="s">
        <v>178</v>
      </c>
      <c r="G72" t="s">
        <v>97</v>
      </c>
      <c r="H72" s="62">
        <v>21.85</v>
      </c>
      <c r="I72" s="63"/>
      <c r="J72" s="80"/>
      <c r="K72" s="57"/>
      <c r="M72" s="62"/>
      <c r="N72" s="63"/>
      <c r="O72" s="80"/>
      <c r="P72" s="57"/>
      <c r="R72" s="62"/>
      <c r="S72" s="63"/>
      <c r="T72" s="80"/>
      <c r="U72" s="57"/>
      <c r="W72" s="62"/>
      <c r="X72" s="63"/>
    </row>
    <row r="73" spans="3:24" x14ac:dyDescent="0.25">
      <c r="C73" s="62"/>
      <c r="D73" s="63"/>
      <c r="E73" s="80"/>
      <c r="F73" s="57" t="s">
        <v>108</v>
      </c>
      <c r="G73" t="s">
        <v>109</v>
      </c>
      <c r="H73" s="62">
        <v>60.3</v>
      </c>
      <c r="I73" s="63"/>
      <c r="J73" s="80"/>
      <c r="K73" s="57"/>
      <c r="M73" s="62"/>
      <c r="N73" s="63"/>
      <c r="O73" s="80"/>
      <c r="P73" s="57"/>
      <c r="R73" s="62"/>
      <c r="S73" s="63"/>
      <c r="T73" s="80"/>
      <c r="U73" s="57"/>
      <c r="W73" s="62"/>
      <c r="X73" s="63"/>
    </row>
    <row r="74" spans="3:24" x14ac:dyDescent="0.25">
      <c r="C74" s="62"/>
      <c r="D74" s="63"/>
      <c r="E74" s="80"/>
      <c r="F74" s="57" t="s">
        <v>188</v>
      </c>
      <c r="G74" t="s">
        <v>48</v>
      </c>
      <c r="H74" s="62">
        <v>26</v>
      </c>
      <c r="I74" s="63"/>
      <c r="J74" s="80"/>
      <c r="K74" s="57"/>
      <c r="M74" s="62"/>
      <c r="N74" s="63"/>
      <c r="O74" s="80"/>
      <c r="P74" s="57"/>
      <c r="R74" s="62"/>
      <c r="S74" s="63"/>
      <c r="T74" s="80"/>
      <c r="U74" s="57"/>
      <c r="W74" s="62"/>
      <c r="X74" s="63"/>
    </row>
    <row r="75" spans="3:24" x14ac:dyDescent="0.25">
      <c r="C75" s="62"/>
      <c r="D75" s="63"/>
      <c r="E75" s="80"/>
      <c r="F75" s="57" t="s">
        <v>189</v>
      </c>
      <c r="G75" t="s">
        <v>231</v>
      </c>
      <c r="H75" s="62">
        <v>925</v>
      </c>
      <c r="I75" s="63"/>
      <c r="J75" s="80"/>
      <c r="K75" s="57"/>
      <c r="M75" s="62"/>
      <c r="N75" s="63"/>
      <c r="O75" s="80"/>
      <c r="P75" s="57"/>
      <c r="R75" s="62"/>
      <c r="S75" s="63"/>
      <c r="T75" s="80"/>
      <c r="U75" s="57"/>
      <c r="W75" s="62"/>
      <c r="X75" s="63"/>
    </row>
    <row r="76" spans="3:24" x14ac:dyDescent="0.25">
      <c r="C76" s="62"/>
      <c r="D76" s="63"/>
      <c r="E76" s="80"/>
      <c r="F76" s="57" t="s">
        <v>205</v>
      </c>
      <c r="G76" t="s">
        <v>230</v>
      </c>
      <c r="H76" s="62"/>
      <c r="I76" s="63">
        <v>334.27</v>
      </c>
      <c r="J76" s="80"/>
      <c r="K76" s="57"/>
      <c r="M76" s="62"/>
      <c r="N76" s="63"/>
      <c r="O76" s="80"/>
      <c r="P76" s="57"/>
      <c r="R76" s="62"/>
      <c r="S76" s="63"/>
      <c r="T76" s="80"/>
      <c r="U76" s="57"/>
      <c r="W76" s="62"/>
      <c r="X76" s="63"/>
    </row>
    <row r="77" spans="3:24" x14ac:dyDescent="0.25">
      <c r="C77" s="62"/>
      <c r="D77" s="63"/>
      <c r="E77" s="80"/>
      <c r="F77" s="57" t="s">
        <v>206</v>
      </c>
      <c r="G77" t="s">
        <v>145</v>
      </c>
      <c r="H77" s="62"/>
      <c r="I77" s="63">
        <v>59.47</v>
      </c>
      <c r="J77" s="80">
        <v>46154</v>
      </c>
      <c r="K77" s="57"/>
      <c r="M77" s="62"/>
      <c r="N77" s="63"/>
      <c r="O77" s="80"/>
      <c r="P77" s="57"/>
      <c r="R77" s="62"/>
      <c r="S77" s="63"/>
      <c r="T77" s="80"/>
      <c r="U77" s="57"/>
      <c r="W77" s="62"/>
      <c r="X77" s="63"/>
    </row>
    <row r="78" spans="3:24" x14ac:dyDescent="0.25">
      <c r="C78" s="62"/>
      <c r="D78" s="63"/>
      <c r="E78" s="80"/>
      <c r="F78" s="57" t="s">
        <v>207</v>
      </c>
      <c r="G78" t="s">
        <v>134</v>
      </c>
      <c r="I78" s="63">
        <v>99.81</v>
      </c>
      <c r="J78" s="80">
        <v>46154</v>
      </c>
      <c r="K78" s="57"/>
      <c r="M78" s="62"/>
      <c r="N78" s="63"/>
      <c r="O78" s="80"/>
      <c r="P78" s="57"/>
      <c r="R78" s="62"/>
      <c r="S78" s="63"/>
      <c r="T78" s="80"/>
      <c r="U78" s="57"/>
      <c r="W78" s="62"/>
      <c r="X78" s="63"/>
    </row>
    <row r="79" spans="3:24" x14ac:dyDescent="0.25">
      <c r="C79" s="62"/>
      <c r="D79" s="63"/>
      <c r="E79" s="80"/>
      <c r="F79" s="57" t="s">
        <v>208</v>
      </c>
      <c r="G79" t="s">
        <v>230</v>
      </c>
      <c r="H79" s="62"/>
      <c r="I79" s="63">
        <v>164.47</v>
      </c>
      <c r="J79" s="80">
        <v>46154</v>
      </c>
      <c r="K79" s="57"/>
      <c r="M79" s="62"/>
      <c r="N79" s="63"/>
      <c r="O79" s="80"/>
      <c r="P79" s="57"/>
      <c r="R79" s="62"/>
      <c r="S79" s="63"/>
      <c r="T79" s="80"/>
      <c r="U79" s="57"/>
      <c r="W79" s="62"/>
      <c r="X79" s="63"/>
    </row>
    <row r="80" spans="3:24" x14ac:dyDescent="0.25">
      <c r="C80" s="62"/>
      <c r="D80" s="63"/>
      <c r="E80" s="80"/>
      <c r="F80" s="57" t="s">
        <v>209</v>
      </c>
      <c r="G80" t="s">
        <v>145</v>
      </c>
      <c r="H80" s="62"/>
      <c r="I80" s="63">
        <v>33.24</v>
      </c>
      <c r="J80" s="80">
        <v>46154</v>
      </c>
      <c r="K80" s="57"/>
      <c r="M80" s="62"/>
      <c r="N80" s="63"/>
      <c r="O80" s="80"/>
      <c r="P80" s="57"/>
      <c r="R80" s="62"/>
      <c r="S80" s="63"/>
      <c r="T80" s="80"/>
      <c r="U80" s="57"/>
      <c r="W80" s="62"/>
      <c r="X80" s="63"/>
    </row>
    <row r="81" spans="1:24" x14ac:dyDescent="0.25">
      <c r="C81" s="62"/>
      <c r="D81" s="63"/>
      <c r="E81" s="80"/>
      <c r="F81" s="57" t="s">
        <v>206</v>
      </c>
      <c r="G81" t="s">
        <v>145</v>
      </c>
      <c r="H81" s="62"/>
      <c r="I81" s="63">
        <v>69.58</v>
      </c>
      <c r="J81" s="80">
        <v>46155</v>
      </c>
      <c r="K81" s="57"/>
      <c r="M81" s="62"/>
      <c r="N81" s="63"/>
      <c r="O81" s="80"/>
      <c r="P81" s="57"/>
      <c r="R81" s="62"/>
      <c r="S81" s="63"/>
      <c r="T81" s="80"/>
      <c r="U81" s="57"/>
      <c r="W81" s="62"/>
      <c r="X81" s="63"/>
    </row>
    <row r="82" spans="1:24" x14ac:dyDescent="0.25">
      <c r="C82" s="62"/>
      <c r="D82" s="63"/>
      <c r="E82" s="80"/>
      <c r="F82" s="57" t="s">
        <v>210</v>
      </c>
      <c r="G82" t="s">
        <v>232</v>
      </c>
      <c r="H82" s="62"/>
      <c r="I82" s="63">
        <v>35.380000000000003</v>
      </c>
      <c r="J82" s="80">
        <v>46155</v>
      </c>
      <c r="K82" s="57"/>
      <c r="M82" s="62"/>
      <c r="N82" s="63"/>
      <c r="O82" s="80"/>
      <c r="P82" s="57"/>
      <c r="R82" s="62"/>
      <c r="S82" s="63"/>
      <c r="T82" s="80"/>
      <c r="U82" s="57"/>
      <c r="W82" s="62"/>
      <c r="X82" s="63"/>
    </row>
    <row r="83" spans="1:24" x14ac:dyDescent="0.25">
      <c r="C83" s="62"/>
      <c r="D83" s="63"/>
      <c r="E83" s="80"/>
      <c r="F83" s="57" t="s">
        <v>211</v>
      </c>
      <c r="G83" t="s">
        <v>145</v>
      </c>
      <c r="H83" s="62"/>
      <c r="I83" s="63">
        <v>158.44999999999999</v>
      </c>
      <c r="J83" s="80">
        <v>46155</v>
      </c>
      <c r="K83" s="57"/>
      <c r="M83" s="62"/>
      <c r="N83" s="63"/>
      <c r="O83" s="80"/>
      <c r="P83" s="57"/>
      <c r="R83" s="62"/>
      <c r="S83" s="63"/>
      <c r="T83" s="80"/>
      <c r="U83" s="57"/>
      <c r="W83" s="62"/>
      <c r="X83" s="63"/>
    </row>
    <row r="84" spans="1:24" x14ac:dyDescent="0.25">
      <c r="C84" s="62"/>
      <c r="D84" s="63"/>
      <c r="E84" s="80"/>
      <c r="F84" s="57" t="s">
        <v>212</v>
      </c>
      <c r="G84" t="s">
        <v>109</v>
      </c>
      <c r="H84" s="62"/>
      <c r="I84" s="63">
        <v>118.17</v>
      </c>
      <c r="J84" s="80">
        <v>46157</v>
      </c>
      <c r="K84" s="57"/>
      <c r="M84" s="62"/>
      <c r="N84" s="63"/>
      <c r="O84" s="80"/>
      <c r="P84" s="57"/>
      <c r="R84" s="62"/>
      <c r="S84" s="63"/>
      <c r="T84" s="80"/>
      <c r="U84" s="57"/>
      <c r="W84" s="62"/>
      <c r="X84" s="63"/>
    </row>
    <row r="85" spans="1:24" x14ac:dyDescent="0.25">
      <c r="C85" s="62"/>
      <c r="D85" s="63"/>
      <c r="E85" s="80"/>
      <c r="F85" s="57"/>
      <c r="H85" s="62"/>
      <c r="I85" s="63"/>
      <c r="J85" s="80"/>
      <c r="K85" s="57"/>
      <c r="M85" s="62"/>
      <c r="N85" s="63"/>
      <c r="O85" s="80"/>
      <c r="P85" s="57"/>
      <c r="R85" s="62"/>
      <c r="S85" s="63"/>
      <c r="T85" s="80"/>
      <c r="U85" s="57"/>
      <c r="W85" s="62"/>
      <c r="X85" s="63"/>
    </row>
    <row r="86" spans="1:24" ht="12" customHeight="1" x14ac:dyDescent="0.25">
      <c r="C86" s="62"/>
      <c r="D86" s="63"/>
      <c r="E86" s="80"/>
      <c r="F86" s="57"/>
      <c r="H86" s="62"/>
      <c r="I86" s="63"/>
      <c r="J86" s="80"/>
      <c r="K86" s="57"/>
      <c r="M86" s="62"/>
      <c r="N86" s="63"/>
      <c r="O86" s="80"/>
      <c r="P86" s="57"/>
      <c r="R86" s="62"/>
      <c r="S86" s="63"/>
      <c r="T86" s="80"/>
      <c r="U86" s="57"/>
      <c r="W86" s="62"/>
      <c r="X86" s="63"/>
    </row>
    <row r="87" spans="1:24" ht="13" x14ac:dyDescent="0.3">
      <c r="A87" s="49" t="s">
        <v>3</v>
      </c>
      <c r="B87" s="50"/>
      <c r="C87" s="48">
        <f>SUM(C37:C86)+SUM(D37:D86)/Resumen!$D$1</f>
        <v>40909.626666666678</v>
      </c>
      <c r="D87" s="51">
        <f>SUM(D37:D86)+SUM(C37:C86)*Resumen!$D$1</f>
        <v>9818.3104000000021</v>
      </c>
      <c r="E87" s="51"/>
      <c r="F87" s="58"/>
      <c r="G87" s="50"/>
      <c r="H87" s="48">
        <f>SUM(H37:H86)+SUM(I37:I86)/Resumen!$D$1</f>
        <v>22785.069999999996</v>
      </c>
      <c r="I87" s="51">
        <f>SUM(I37:I86)+SUM(H37:H86)*Resumen!$D$1</f>
        <v>5468.4167999999991</v>
      </c>
      <c r="J87" s="51"/>
      <c r="K87" s="58"/>
      <c r="L87" s="50"/>
      <c r="M87" s="48">
        <f>SUM(M37:M86)+SUM(N37:N86)/Resumen!$D$1</f>
        <v>14676.875000000002</v>
      </c>
      <c r="N87" s="51">
        <f>SUM(N37:N86)+SUM(M37:M86)*Resumen!$D$1</f>
        <v>3522.4500000000003</v>
      </c>
      <c r="O87" s="51"/>
      <c r="P87" s="58"/>
      <c r="Q87" s="50"/>
      <c r="R87" s="48">
        <f>SUM(R37:R86)+SUM(S37:S86)/Resumen!$D$1</f>
        <v>0</v>
      </c>
      <c r="S87" s="51">
        <f>SUM(S37:S86)+SUM(R37:R86)*Resumen!$D$1</f>
        <v>0</v>
      </c>
      <c r="T87" s="51"/>
      <c r="U87" s="58"/>
      <c r="V87" s="50"/>
      <c r="W87" s="48">
        <f>SUM(W37:W86)+SUM(X37:X86)/Resumen!$D$1</f>
        <v>0</v>
      </c>
      <c r="X87" s="51">
        <f>SUM(X37:X86)+SUM(W37:W86)*Resumen!$D$1</f>
        <v>0</v>
      </c>
    </row>
    <row r="88" spans="1:24" ht="13" x14ac:dyDescent="0.3">
      <c r="A88" s="52" t="s">
        <v>56</v>
      </c>
      <c r="B88" s="53"/>
      <c r="C88" s="54">
        <f>Resumen!$B$32-C87</f>
        <v>-37929.626666666678</v>
      </c>
      <c r="D88" s="55">
        <f>Resumen!$C$32-D87</f>
        <v>-9103.1104000000014</v>
      </c>
      <c r="E88" s="55"/>
      <c r="F88" s="59"/>
      <c r="G88" s="53"/>
      <c r="H88" s="54">
        <f>C88-H87</f>
        <v>-60714.69666666667</v>
      </c>
      <c r="I88" s="55">
        <f>D88-I87</f>
        <v>-14571.5272</v>
      </c>
      <c r="J88" s="55"/>
      <c r="K88" s="59"/>
      <c r="L88" s="53"/>
      <c r="M88" s="54">
        <f>H88-M87</f>
        <v>-75391.57166666667</v>
      </c>
      <c r="N88" s="55">
        <f>I88-N87</f>
        <v>-18093.977200000001</v>
      </c>
      <c r="O88" s="55"/>
      <c r="P88" s="59"/>
      <c r="Q88" s="53"/>
      <c r="R88" s="54">
        <f>M88-R87</f>
        <v>-75391.57166666667</v>
      </c>
      <c r="S88" s="55">
        <f>N88-S87</f>
        <v>-18093.977200000001</v>
      </c>
      <c r="T88" s="55"/>
      <c r="U88" s="59"/>
      <c r="V88" s="53"/>
      <c r="W88" s="54">
        <f>R88-W87</f>
        <v>-75391.57166666667</v>
      </c>
      <c r="X88" s="55">
        <f>S88-X87</f>
        <v>-18093.977200000001</v>
      </c>
    </row>
  </sheetData>
  <mergeCells count="2">
    <mergeCell ref="A11:D11"/>
    <mergeCell ref="A1:D1"/>
  </mergeCells>
  <conditionalFormatting sqref="C7:D7">
    <cfRule type="cellIs" dxfId="7" priority="1" operator="lessThan">
      <formula>0</formula>
    </cfRule>
  </conditionalFormatting>
  <dataValidations disablePrompts="1" count="1">
    <dataValidation type="list" allowBlank="1" showInputMessage="1" showErrorMessage="1" sqref="B33:B86 G33:G86 L33:L86 Q33:Q86 V33:V86" xr:uid="{1CAA3B96-9A2B-4100-9BC9-BC66AE380402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CE7E-0897-43A0-ADD7-9018DEB1DDFE}">
  <dimension ref="A1:X105"/>
  <sheetViews>
    <sheetView topLeftCell="L8" workbookViewId="0">
      <selection activeCell="D81" sqref="A81:D81"/>
    </sheetView>
  </sheetViews>
  <sheetFormatPr baseColWidth="10" defaultRowHeight="12.5" x14ac:dyDescent="0.25"/>
  <cols>
    <col min="1" max="1" width="15.90625" customWidth="1"/>
    <col min="2" max="2" width="15.453125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10" ht="14" x14ac:dyDescent="0.3">
      <c r="A1" s="100" t="s">
        <v>279</v>
      </c>
      <c r="B1" s="100"/>
      <c r="C1" s="100"/>
      <c r="D1" s="100"/>
    </row>
    <row r="2" spans="1:10" x14ac:dyDescent="0.25">
      <c r="A2" s="88" t="s">
        <v>24</v>
      </c>
      <c r="B2" s="88"/>
      <c r="C2" s="88" t="s">
        <v>141</v>
      </c>
      <c r="D2" s="88" t="s">
        <v>142</v>
      </c>
      <c r="F2" s="25">
        <v>6697</v>
      </c>
      <c r="G2" s="37">
        <f>F2*Resumen!$D$1</f>
        <v>1607.28</v>
      </c>
    </row>
    <row r="3" spans="1:10" x14ac:dyDescent="0.25">
      <c r="A3" t="s">
        <v>280</v>
      </c>
      <c r="C3" s="25">
        <v>24194.44</v>
      </c>
      <c r="D3" s="37">
        <f>C3*Resumen!$D$1</f>
        <v>5806.6655999999994</v>
      </c>
      <c r="F3" s="7">
        <f>G3/Resumen!$D$1</f>
        <v>1875</v>
      </c>
      <c r="G3" s="95">
        <v>450</v>
      </c>
    </row>
    <row r="4" spans="1:10" x14ac:dyDescent="0.25">
      <c r="A4" t="s">
        <v>281</v>
      </c>
      <c r="C4" s="7">
        <f>D4/Resumen!$D$1</f>
        <v>13450</v>
      </c>
      <c r="D4" s="95">
        <v>3228</v>
      </c>
      <c r="F4" s="7">
        <f>G4/Resumen!$D$1</f>
        <v>5383.8750000000009</v>
      </c>
      <c r="G4" s="95">
        <v>1292.1300000000001</v>
      </c>
    </row>
    <row r="5" spans="1:10" x14ac:dyDescent="0.25">
      <c r="A5" t="s">
        <v>282</v>
      </c>
      <c r="C5" s="7">
        <f>D5/Resumen!$D$1</f>
        <v>1875</v>
      </c>
      <c r="D5" s="95">
        <v>450</v>
      </c>
      <c r="F5" s="7">
        <f>G5/Resumen!$D$1</f>
        <v>682.70833333333337</v>
      </c>
      <c r="G5" s="95">
        <v>163.85</v>
      </c>
    </row>
    <row r="6" spans="1:10" ht="13" x14ac:dyDescent="0.3">
      <c r="A6" s="17" t="s">
        <v>23</v>
      </c>
      <c r="B6" s="17"/>
      <c r="C6" s="19">
        <f>SUM(C3:C5)</f>
        <v>39519.440000000002</v>
      </c>
      <c r="D6" s="91">
        <f>SUM(D3:D5)</f>
        <v>9484.6656000000003</v>
      </c>
      <c r="F6" s="87">
        <f>SUM(F2:F5)</f>
        <v>14638.583333333334</v>
      </c>
      <c r="G6" s="87">
        <f>SUM(G2:G5)</f>
        <v>3513.2599999999998</v>
      </c>
      <c r="H6" t="s">
        <v>300</v>
      </c>
      <c r="J6" t="s">
        <v>303</v>
      </c>
    </row>
    <row r="7" spans="1:10" ht="13" x14ac:dyDescent="0.3">
      <c r="A7" s="92" t="s">
        <v>283</v>
      </c>
      <c r="B7" s="92"/>
      <c r="C7" s="93"/>
      <c r="D7" s="94">
        <f>D6-E32</f>
        <v>79.603599999998551</v>
      </c>
    </row>
    <row r="8" spans="1:10" x14ac:dyDescent="0.25">
      <c r="F8" s="25">
        <v>8000</v>
      </c>
      <c r="G8" s="37">
        <f>F8*Resumen!$D$1</f>
        <v>1920</v>
      </c>
      <c r="H8" t="s">
        <v>302</v>
      </c>
    </row>
    <row r="9" spans="1:10" ht="20" x14ac:dyDescent="0.4">
      <c r="A9" s="16" t="s">
        <v>60</v>
      </c>
    </row>
    <row r="10" spans="1:10" x14ac:dyDescent="0.25">
      <c r="G10" s="87">
        <f>G6-G8</f>
        <v>1593.2599999999998</v>
      </c>
      <c r="H10" t="s">
        <v>301</v>
      </c>
    </row>
    <row r="11" spans="1:10" ht="14" x14ac:dyDescent="0.3">
      <c r="A11" s="99" t="s">
        <v>138</v>
      </c>
      <c r="B11" s="99"/>
      <c r="C11" s="99"/>
      <c r="D11" s="99"/>
    </row>
    <row r="12" spans="1:10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10" x14ac:dyDescent="0.25">
      <c r="A13" t="s">
        <v>48</v>
      </c>
      <c r="B13" s="64">
        <f t="shared" ref="B13:B31" si="0">COUNTIF($B$37:$B$99,A13)+COUNTIF($G$37:$G$56,A13)+COUNTIF($L$37:$L$56,A13)+COUNTIF($Q$37:$Q$56,A13)+COUNTIF($V$37:$V$56,A13)</f>
        <v>16</v>
      </c>
      <c r="C13" s="65">
        <f>SUMIF($B$37:$B$100,A13,$C$37:$C$100)+SUMIF($G$37:$G$100,A13,$H$37:$H$100)+SUMIF($L$37:$L$100,A13,$M$37:$M$100)+SUMIF($Q$37:$Q$100,A13,$R$37:$R$100)+SUMIF($V$37:$V$100,A13,$W$37:$W$100)</f>
        <v>1983</v>
      </c>
      <c r="D13" s="66">
        <f>SUMIF($B$37:$B$100,A13,$D$37:$D$100)+SUMIF($G$37:$G$100,A13,$I$37:$I$100)+SUMIF($L$37:$L$100,A13,$N$37:$N$100)+SUMIF($Q$37:$Q$100,A13,$S$37:$S$100)+SUMIF($V$37:$V$100,A13,$X$37:$X$100)</f>
        <v>452.76</v>
      </c>
    </row>
    <row r="14" spans="1:10" x14ac:dyDescent="0.25">
      <c r="A14" s="67" t="s">
        <v>129</v>
      </c>
      <c r="B14" s="64">
        <f t="shared" si="0"/>
        <v>3</v>
      </c>
      <c r="C14" s="65">
        <f t="shared" ref="C14:C31" si="1">SUMIF($B$37:$B$100,A14,$C$37:$C$100)+SUMIF($G$37:$G$100,A14,$H$37:$H$100)+SUMIF($L$37:$L$100,A14,$M$37:$M$100)+SUMIF($Q$37:$Q$100,A14,$R$37:$R$100)+SUMIF($V$37:$V$100,A14,$W$37:$W$100)</f>
        <v>822</v>
      </c>
      <c r="D14" s="66">
        <f t="shared" ref="D14:D31" si="2">SUMIF($B$37:$B$100,A14,$D$37:$D$100)+SUMIF($G$37:$G$100,A14,$I$37:$I$100)+SUMIF($L$37:$L$100,A14,$N$37:$N$100)+SUMIF($Q$37:$Q$100,A14,$S$37:$S$100)+SUMIF($V$37:$V$100,A14,$X$37:$X$100)</f>
        <v>13.940000000000001</v>
      </c>
    </row>
    <row r="15" spans="1:10" x14ac:dyDescent="0.25">
      <c r="A15" t="s">
        <v>130</v>
      </c>
      <c r="B15" s="64">
        <f t="shared" si="0"/>
        <v>1</v>
      </c>
      <c r="C15" s="65">
        <f t="shared" si="1"/>
        <v>0</v>
      </c>
      <c r="D15" s="66">
        <f t="shared" si="2"/>
        <v>116.29</v>
      </c>
    </row>
    <row r="16" spans="1:10" x14ac:dyDescent="0.25">
      <c r="A16" s="67" t="s">
        <v>131</v>
      </c>
      <c r="B16" s="64">
        <f t="shared" si="0"/>
        <v>7</v>
      </c>
      <c r="C16" s="65">
        <f t="shared" si="1"/>
        <v>0</v>
      </c>
      <c r="D16" s="66">
        <f t="shared" si="2"/>
        <v>513.67000000000007</v>
      </c>
    </row>
    <row r="17" spans="1:5" x14ac:dyDescent="0.25">
      <c r="A17" t="s">
        <v>132</v>
      </c>
      <c r="B17" s="64">
        <f t="shared" si="0"/>
        <v>0</v>
      </c>
      <c r="C17" s="65">
        <f t="shared" si="1"/>
        <v>0</v>
      </c>
      <c r="D17" s="66">
        <f t="shared" si="2"/>
        <v>0</v>
      </c>
    </row>
    <row r="18" spans="1:5" x14ac:dyDescent="0.25">
      <c r="A18" s="67" t="s">
        <v>133</v>
      </c>
      <c r="B18" s="64">
        <f t="shared" si="0"/>
        <v>12</v>
      </c>
      <c r="C18" s="65">
        <f t="shared" si="1"/>
        <v>901.2</v>
      </c>
      <c r="D18" s="66">
        <f t="shared" si="2"/>
        <v>646.71</v>
      </c>
    </row>
    <row r="19" spans="1:5" x14ac:dyDescent="0.25">
      <c r="A19" t="s">
        <v>134</v>
      </c>
      <c r="B19" s="64">
        <f t="shared" si="0"/>
        <v>14</v>
      </c>
      <c r="C19" s="65">
        <f t="shared" si="1"/>
        <v>5299.5</v>
      </c>
      <c r="D19" s="66">
        <f t="shared" si="2"/>
        <v>350.12</v>
      </c>
    </row>
    <row r="20" spans="1:5" x14ac:dyDescent="0.25">
      <c r="A20" s="67" t="s">
        <v>135</v>
      </c>
      <c r="B20" s="64">
        <f t="shared" si="0"/>
        <v>0</v>
      </c>
      <c r="C20" s="65">
        <f t="shared" si="1"/>
        <v>0</v>
      </c>
      <c r="D20" s="66">
        <f t="shared" si="2"/>
        <v>0</v>
      </c>
    </row>
    <row r="21" spans="1:5" x14ac:dyDescent="0.25">
      <c r="A21" t="s">
        <v>109</v>
      </c>
      <c r="B21" s="64">
        <f t="shared" si="0"/>
        <v>24</v>
      </c>
      <c r="C21" s="65">
        <f t="shared" si="1"/>
        <v>1399.56</v>
      </c>
      <c r="D21" s="66">
        <f t="shared" si="2"/>
        <v>272.22000000000003</v>
      </c>
    </row>
    <row r="22" spans="1:5" x14ac:dyDescent="0.25">
      <c r="A22" s="67" t="s">
        <v>136</v>
      </c>
      <c r="B22" s="64">
        <f t="shared" si="0"/>
        <v>0</v>
      </c>
      <c r="C22" s="65">
        <f t="shared" si="1"/>
        <v>0</v>
      </c>
      <c r="D22" s="66">
        <f t="shared" si="2"/>
        <v>0</v>
      </c>
    </row>
    <row r="23" spans="1:5" x14ac:dyDescent="0.25">
      <c r="A23" s="84" t="s">
        <v>229</v>
      </c>
      <c r="B23" s="64">
        <f t="shared" si="0"/>
        <v>1</v>
      </c>
      <c r="C23" s="65">
        <f t="shared" si="1"/>
        <v>8000</v>
      </c>
      <c r="D23" s="66">
        <f t="shared" si="2"/>
        <v>0</v>
      </c>
    </row>
    <row r="24" spans="1:5" x14ac:dyDescent="0.25">
      <c r="A24" s="67" t="s">
        <v>230</v>
      </c>
      <c r="B24" s="64">
        <f t="shared" si="0"/>
        <v>0</v>
      </c>
      <c r="C24" s="65">
        <f t="shared" si="1"/>
        <v>0</v>
      </c>
      <c r="D24" s="66">
        <f t="shared" si="2"/>
        <v>0</v>
      </c>
    </row>
    <row r="25" spans="1:5" x14ac:dyDescent="0.25">
      <c r="A25" s="84" t="s">
        <v>231</v>
      </c>
      <c r="B25" s="64">
        <f t="shared" si="0"/>
        <v>7</v>
      </c>
      <c r="C25" s="65">
        <f t="shared" si="1"/>
        <v>3730.65</v>
      </c>
      <c r="D25" s="66">
        <f t="shared" si="2"/>
        <v>77.59</v>
      </c>
    </row>
    <row r="26" spans="1:5" x14ac:dyDescent="0.25">
      <c r="A26" s="67" t="s">
        <v>232</v>
      </c>
      <c r="B26" s="64">
        <f t="shared" si="0"/>
        <v>2</v>
      </c>
      <c r="C26" s="65">
        <f>SUMIF($B$37:$B$100,A26,$C$37:$C$100)+SUMIF($G$37:$G$100,A26,$H$37:$H$100)+SUMIF($L$37:$L$100,A26,$M$37:$M$100)+SUMIF($Q$37:$Q$100,A26,$R$37:$R$100)+SUMIF($V$37:$V$100,A26,$W$37:$W$100)</f>
        <v>248.2</v>
      </c>
      <c r="D26" s="66">
        <f t="shared" si="2"/>
        <v>0</v>
      </c>
    </row>
    <row r="27" spans="1:5" x14ac:dyDescent="0.25">
      <c r="A27" t="s">
        <v>137</v>
      </c>
      <c r="B27" s="64">
        <f t="shared" si="0"/>
        <v>2</v>
      </c>
      <c r="C27" s="65">
        <f t="shared" si="1"/>
        <v>189.76</v>
      </c>
      <c r="D27" s="66">
        <f t="shared" si="2"/>
        <v>36.589999999999996</v>
      </c>
    </row>
    <row r="28" spans="1:5" x14ac:dyDescent="0.25">
      <c r="A28" s="67" t="s">
        <v>144</v>
      </c>
      <c r="B28" s="64">
        <f t="shared" si="0"/>
        <v>1</v>
      </c>
      <c r="C28" s="65">
        <f t="shared" si="1"/>
        <v>0</v>
      </c>
      <c r="D28" s="66">
        <f t="shared" si="2"/>
        <v>147.93</v>
      </c>
    </row>
    <row r="29" spans="1:5" x14ac:dyDescent="0.25">
      <c r="A29" t="s">
        <v>145</v>
      </c>
      <c r="B29" s="64">
        <f t="shared" si="0"/>
        <v>27</v>
      </c>
      <c r="C29" s="65">
        <f t="shared" si="1"/>
        <v>1975.4299999999998</v>
      </c>
      <c r="D29" s="66">
        <f t="shared" si="2"/>
        <v>448.92999999999995</v>
      </c>
    </row>
    <row r="30" spans="1:5" x14ac:dyDescent="0.25">
      <c r="A30" s="67" t="s">
        <v>97</v>
      </c>
      <c r="B30" s="64">
        <f t="shared" si="0"/>
        <v>5</v>
      </c>
      <c r="C30" s="65">
        <f t="shared" si="1"/>
        <v>1069</v>
      </c>
      <c r="D30" s="66">
        <f t="shared" si="2"/>
        <v>179.92000000000002</v>
      </c>
    </row>
    <row r="31" spans="1:5" x14ac:dyDescent="0.25">
      <c r="A31" t="s">
        <v>103</v>
      </c>
      <c r="B31" s="64">
        <f t="shared" si="0"/>
        <v>0</v>
      </c>
      <c r="C31" s="65">
        <f t="shared" si="1"/>
        <v>0</v>
      </c>
      <c r="D31" s="66">
        <f t="shared" si="2"/>
        <v>0</v>
      </c>
    </row>
    <row r="32" spans="1:5" ht="14" x14ac:dyDescent="0.3">
      <c r="A32" s="60" t="s">
        <v>143</v>
      </c>
      <c r="B32" s="71">
        <f>SUM(B13:B31)</f>
        <v>122</v>
      </c>
      <c r="C32" s="61">
        <f>SUM(C13:C31)</f>
        <v>25618.300000000003</v>
      </c>
      <c r="D32" s="72">
        <f>SUM(D13:D31)</f>
        <v>3256.67</v>
      </c>
      <c r="E32" s="96">
        <f>D32+(C32*Resumen!D1)</f>
        <v>9405.0620000000017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A37" t="s">
        <v>233</v>
      </c>
      <c r="B37" t="s">
        <v>97</v>
      </c>
      <c r="C37" s="62">
        <v>1028</v>
      </c>
      <c r="D37" s="63"/>
      <c r="E37" s="80">
        <v>46174</v>
      </c>
      <c r="F37" s="57" t="s">
        <v>241</v>
      </c>
      <c r="G37" t="s">
        <v>145</v>
      </c>
      <c r="H37" s="62">
        <v>96.48</v>
      </c>
      <c r="I37" s="63"/>
      <c r="J37" s="80"/>
      <c r="K37" s="57" t="s">
        <v>251</v>
      </c>
      <c r="L37" t="s">
        <v>48</v>
      </c>
      <c r="M37" s="62">
        <v>192</v>
      </c>
      <c r="N37" s="63"/>
      <c r="O37" s="80"/>
      <c r="P37" s="57" t="s">
        <v>238</v>
      </c>
      <c r="Q37" t="s">
        <v>109</v>
      </c>
      <c r="R37" s="62">
        <v>141</v>
      </c>
      <c r="S37" s="63"/>
      <c r="T37" s="80"/>
      <c r="U37" s="57"/>
      <c r="W37" s="62"/>
      <c r="X37" s="63"/>
    </row>
    <row r="38" spans="1:24" x14ac:dyDescent="0.25">
      <c r="A38" t="s">
        <v>240</v>
      </c>
      <c r="B38" t="s">
        <v>134</v>
      </c>
      <c r="C38" s="62">
        <v>136.5</v>
      </c>
      <c r="D38" s="63"/>
      <c r="E38" s="80"/>
      <c r="F38" s="57" t="s">
        <v>238</v>
      </c>
      <c r="G38" t="s">
        <v>109</v>
      </c>
      <c r="H38" s="62">
        <v>79</v>
      </c>
      <c r="I38" s="63"/>
      <c r="J38" s="80"/>
      <c r="K38" s="57" t="s">
        <v>252</v>
      </c>
      <c r="L38" t="s">
        <v>48</v>
      </c>
      <c r="M38" s="62">
        <v>60</v>
      </c>
      <c r="N38" s="63"/>
      <c r="O38" s="80"/>
      <c r="P38" s="57" t="s">
        <v>263</v>
      </c>
      <c r="Q38" t="s">
        <v>129</v>
      </c>
      <c r="R38" s="62">
        <v>22</v>
      </c>
      <c r="S38" s="63"/>
      <c r="T38" s="80"/>
      <c r="U38" s="57"/>
      <c r="W38" s="62"/>
      <c r="X38" s="63"/>
    </row>
    <row r="39" spans="1:24" x14ac:dyDescent="0.25">
      <c r="A39" t="s">
        <v>234</v>
      </c>
      <c r="B39" t="s">
        <v>145</v>
      </c>
      <c r="C39" s="62">
        <v>167.89</v>
      </c>
      <c r="D39" s="63"/>
      <c r="E39" s="80"/>
      <c r="F39" s="57" t="s">
        <v>238</v>
      </c>
      <c r="G39" t="s">
        <v>109</v>
      </c>
      <c r="H39" s="62">
        <v>85.27</v>
      </c>
      <c r="I39" s="63"/>
      <c r="J39" s="80"/>
      <c r="K39" s="57" t="s">
        <v>253</v>
      </c>
      <c r="L39" t="s">
        <v>109</v>
      </c>
      <c r="M39" s="62">
        <v>12.5</v>
      </c>
      <c r="N39" s="63"/>
      <c r="O39" s="80"/>
      <c r="P39" s="57" t="s">
        <v>264</v>
      </c>
      <c r="Q39" t="s">
        <v>48</v>
      </c>
      <c r="R39" s="62">
        <v>20</v>
      </c>
      <c r="S39" s="63"/>
      <c r="T39" s="80"/>
      <c r="U39" s="57"/>
      <c r="W39" s="62"/>
      <c r="X39" s="63"/>
    </row>
    <row r="40" spans="1:24" x14ac:dyDescent="0.25">
      <c r="A40" t="s">
        <v>235</v>
      </c>
      <c r="B40" t="s">
        <v>232</v>
      </c>
      <c r="C40" s="62">
        <v>203.7</v>
      </c>
      <c r="D40" s="63"/>
      <c r="E40" s="80"/>
      <c r="F40" s="57" t="s">
        <v>236</v>
      </c>
      <c r="G40" t="s">
        <v>145</v>
      </c>
      <c r="H40" s="62">
        <v>35.42</v>
      </c>
      <c r="I40" s="63"/>
      <c r="J40" s="80"/>
      <c r="K40" s="57" t="s">
        <v>254</v>
      </c>
      <c r="L40" t="s">
        <v>48</v>
      </c>
      <c r="M40" s="62">
        <v>518</v>
      </c>
      <c r="N40" s="63"/>
      <c r="O40" s="80"/>
      <c r="P40" s="57" t="s">
        <v>265</v>
      </c>
      <c r="Q40" t="s">
        <v>231</v>
      </c>
      <c r="R40" s="62">
        <v>374.55</v>
      </c>
      <c r="S40" s="63"/>
      <c r="T40" s="80"/>
      <c r="U40" s="57"/>
      <c r="W40" s="62"/>
      <c r="X40" s="63"/>
    </row>
    <row r="41" spans="1:24" x14ac:dyDescent="0.25">
      <c r="A41" t="s">
        <v>236</v>
      </c>
      <c r="B41" t="s">
        <v>145</v>
      </c>
      <c r="C41" s="62">
        <v>76.25</v>
      </c>
      <c r="D41" s="63"/>
      <c r="E41" s="80"/>
      <c r="F41" s="57" t="s">
        <v>243</v>
      </c>
      <c r="G41" t="s">
        <v>145</v>
      </c>
      <c r="H41" s="62">
        <v>54.39</v>
      </c>
      <c r="I41" s="63"/>
      <c r="J41" s="80"/>
      <c r="K41" s="57" t="s">
        <v>252</v>
      </c>
      <c r="L41" t="s">
        <v>48</v>
      </c>
      <c r="M41" s="62">
        <v>65</v>
      </c>
      <c r="N41" s="63"/>
      <c r="O41" s="80"/>
      <c r="P41" s="57" t="s">
        <v>266</v>
      </c>
      <c r="Q41" t="s">
        <v>231</v>
      </c>
      <c r="R41" s="62">
        <v>126</v>
      </c>
      <c r="S41" s="63"/>
      <c r="T41" s="80"/>
      <c r="U41" s="57"/>
      <c r="W41" s="62"/>
      <c r="X41" s="63"/>
    </row>
    <row r="42" spans="1:24" x14ac:dyDescent="0.25">
      <c r="A42" t="s">
        <v>237</v>
      </c>
      <c r="B42" t="s">
        <v>134</v>
      </c>
      <c r="C42" s="62">
        <v>4460</v>
      </c>
      <c r="D42" s="63"/>
      <c r="E42" s="80"/>
      <c r="F42" s="57" t="s">
        <v>245</v>
      </c>
      <c r="G42" t="s">
        <v>133</v>
      </c>
      <c r="H42" s="62">
        <v>225</v>
      </c>
      <c r="I42" s="63"/>
      <c r="J42" s="80"/>
      <c r="K42" s="57" t="s">
        <v>241</v>
      </c>
      <c r="L42" t="s">
        <v>145</v>
      </c>
      <c r="M42" s="62">
        <v>73.5</v>
      </c>
      <c r="N42" s="63"/>
      <c r="O42" s="80"/>
      <c r="P42" s="57" t="s">
        <v>267</v>
      </c>
      <c r="Q42" t="s">
        <v>137</v>
      </c>
      <c r="R42" s="62">
        <v>189.76</v>
      </c>
      <c r="S42" s="63"/>
      <c r="T42" s="80"/>
      <c r="U42" s="57"/>
      <c r="W42" s="62"/>
      <c r="X42" s="63"/>
    </row>
    <row r="43" spans="1:24" x14ac:dyDescent="0.25">
      <c r="A43" t="s">
        <v>238</v>
      </c>
      <c r="B43" t="s">
        <v>109</v>
      </c>
      <c r="C43" s="62">
        <v>105.62</v>
      </c>
      <c r="D43" s="63"/>
      <c r="E43" s="80"/>
      <c r="F43" s="57" t="s">
        <v>197</v>
      </c>
      <c r="G43" t="s">
        <v>133</v>
      </c>
      <c r="H43" s="62">
        <v>489</v>
      </c>
      <c r="I43" s="63"/>
      <c r="J43" s="80"/>
      <c r="K43" s="57" t="s">
        <v>255</v>
      </c>
      <c r="L43" t="s">
        <v>109</v>
      </c>
      <c r="M43" s="62">
        <v>247.5</v>
      </c>
      <c r="N43" s="63"/>
      <c r="O43" s="80"/>
      <c r="P43" s="57" t="s">
        <v>261</v>
      </c>
      <c r="Q43" t="s">
        <v>109</v>
      </c>
      <c r="R43" s="62">
        <v>29.5</v>
      </c>
      <c r="S43" s="63"/>
      <c r="T43" s="80"/>
      <c r="U43" s="57"/>
      <c r="W43" s="62"/>
      <c r="X43" s="63"/>
    </row>
    <row r="44" spans="1:24" x14ac:dyDescent="0.25">
      <c r="A44" t="s">
        <v>239</v>
      </c>
      <c r="B44" t="s">
        <v>48</v>
      </c>
      <c r="C44" s="62">
        <v>240</v>
      </c>
      <c r="D44" s="63"/>
      <c r="E44" s="80"/>
      <c r="F44" s="57" t="s">
        <v>246</v>
      </c>
      <c r="G44" t="s">
        <v>129</v>
      </c>
      <c r="H44" s="62">
        <v>800</v>
      </c>
      <c r="I44" s="63"/>
      <c r="J44" s="80"/>
      <c r="K44" s="57" t="s">
        <v>238</v>
      </c>
      <c r="L44" t="s">
        <v>109</v>
      </c>
      <c r="M44" s="62">
        <v>48.15</v>
      </c>
      <c r="N44" s="63"/>
      <c r="O44" s="80"/>
      <c r="P44" s="57" t="s">
        <v>241</v>
      </c>
      <c r="Q44" t="s">
        <v>145</v>
      </c>
      <c r="R44" s="62">
        <v>28.61</v>
      </c>
      <c r="S44" s="63"/>
      <c r="T44" s="80"/>
      <c r="U44" s="57"/>
      <c r="W44" s="62"/>
      <c r="X44" s="63"/>
    </row>
    <row r="45" spans="1:24" x14ac:dyDescent="0.25">
      <c r="A45" t="s">
        <v>241</v>
      </c>
      <c r="B45" t="s">
        <v>145</v>
      </c>
      <c r="C45" s="62">
        <v>95.94</v>
      </c>
      <c r="D45" s="63"/>
      <c r="E45" s="80"/>
      <c r="F45" s="57" t="s">
        <v>243</v>
      </c>
      <c r="G45" t="s">
        <v>145</v>
      </c>
      <c r="H45" s="62">
        <v>160.19999999999999</v>
      </c>
      <c r="I45" s="63"/>
      <c r="J45" s="80"/>
      <c r="K45" s="57" t="s">
        <v>249</v>
      </c>
      <c r="L45" t="s">
        <v>134</v>
      </c>
      <c r="M45" s="62">
        <v>104</v>
      </c>
      <c r="N45" s="63"/>
      <c r="O45" s="80"/>
      <c r="P45" s="57" t="s">
        <v>265</v>
      </c>
      <c r="Q45" t="s">
        <v>231</v>
      </c>
      <c r="R45" s="62">
        <v>1343</v>
      </c>
      <c r="S45" s="63"/>
      <c r="T45" s="80"/>
      <c r="U45" s="57"/>
      <c r="W45" s="62"/>
      <c r="X45" s="63"/>
    </row>
    <row r="46" spans="1:24" x14ac:dyDescent="0.25">
      <c r="A46" t="s">
        <v>242</v>
      </c>
      <c r="B46" t="s">
        <v>109</v>
      </c>
      <c r="C46" s="62">
        <v>6.5</v>
      </c>
      <c r="D46" s="63"/>
      <c r="E46" s="80"/>
      <c r="F46" s="57" t="s">
        <v>238</v>
      </c>
      <c r="G46" t="s">
        <v>109</v>
      </c>
      <c r="H46" s="62">
        <v>173.31</v>
      </c>
      <c r="I46" s="63"/>
      <c r="J46" s="80"/>
      <c r="K46" s="57" t="s">
        <v>236</v>
      </c>
      <c r="L46" t="s">
        <v>145</v>
      </c>
      <c r="M46" s="62">
        <v>28.45</v>
      </c>
      <c r="N46" s="63"/>
      <c r="O46" s="80"/>
      <c r="P46" s="57" t="s">
        <v>265</v>
      </c>
      <c r="Q46" t="s">
        <v>231</v>
      </c>
      <c r="R46" s="62">
        <v>664</v>
      </c>
      <c r="S46" s="63"/>
      <c r="T46" s="80"/>
      <c r="U46" s="57"/>
      <c r="W46" s="62"/>
      <c r="X46" s="63"/>
    </row>
    <row r="47" spans="1:24" x14ac:dyDescent="0.25">
      <c r="A47" t="s">
        <v>238</v>
      </c>
      <c r="B47" t="s">
        <v>109</v>
      </c>
      <c r="C47" s="62">
        <v>87.98</v>
      </c>
      <c r="D47" s="63"/>
      <c r="E47" s="80">
        <v>46180</v>
      </c>
      <c r="F47" s="57" t="s">
        <v>238</v>
      </c>
      <c r="G47" t="s">
        <v>109</v>
      </c>
      <c r="H47" s="62">
        <v>13</v>
      </c>
      <c r="I47" s="63"/>
      <c r="J47" s="80"/>
      <c r="K47" s="57" t="s">
        <v>256</v>
      </c>
      <c r="L47" t="s">
        <v>48</v>
      </c>
      <c r="M47" s="62">
        <v>253</v>
      </c>
      <c r="N47" s="63"/>
      <c r="O47" s="80"/>
      <c r="P47" s="57" t="s">
        <v>253</v>
      </c>
      <c r="Q47" t="s">
        <v>109</v>
      </c>
      <c r="R47" s="62">
        <v>44.5</v>
      </c>
      <c r="S47" s="63"/>
      <c r="T47" s="80"/>
      <c r="U47" s="57"/>
      <c r="W47" s="62"/>
      <c r="X47" s="63"/>
    </row>
    <row r="48" spans="1:24" x14ac:dyDescent="0.25">
      <c r="A48" t="s">
        <v>243</v>
      </c>
      <c r="B48" t="s">
        <v>145</v>
      </c>
      <c r="C48" s="62"/>
      <c r="D48" s="63">
        <v>73.010000000000005</v>
      </c>
      <c r="E48" s="80"/>
      <c r="F48" s="57" t="s">
        <v>243</v>
      </c>
      <c r="G48" t="s">
        <v>145</v>
      </c>
      <c r="H48" s="62">
        <v>210.23</v>
      </c>
      <c r="I48" s="63"/>
      <c r="J48" s="80"/>
      <c r="K48" s="57" t="s">
        <v>257</v>
      </c>
      <c r="L48" t="s">
        <v>97</v>
      </c>
      <c r="M48" s="62">
        <v>13</v>
      </c>
      <c r="N48" s="63"/>
      <c r="O48" s="80"/>
      <c r="P48" s="57" t="s">
        <v>268</v>
      </c>
      <c r="Q48" t="s">
        <v>134</v>
      </c>
      <c r="R48" s="62">
        <v>110</v>
      </c>
      <c r="S48" s="63"/>
      <c r="T48" s="80">
        <v>46197</v>
      </c>
      <c r="U48" s="57"/>
      <c r="W48" s="62"/>
      <c r="X48" s="63"/>
    </row>
    <row r="49" spans="1:24" x14ac:dyDescent="0.25">
      <c r="A49" t="s">
        <v>269</v>
      </c>
      <c r="B49" t="s">
        <v>134</v>
      </c>
      <c r="C49" s="62"/>
      <c r="D49" s="63">
        <v>22</v>
      </c>
      <c r="E49" s="80"/>
      <c r="F49" s="57" t="s">
        <v>247</v>
      </c>
      <c r="G49" t="s">
        <v>145</v>
      </c>
      <c r="H49" s="62">
        <v>75.59</v>
      </c>
      <c r="I49" s="63"/>
      <c r="J49" s="80"/>
      <c r="K49" s="57" t="s">
        <v>247</v>
      </c>
      <c r="L49" t="s">
        <v>145</v>
      </c>
      <c r="M49" s="62">
        <v>28.99</v>
      </c>
      <c r="N49" s="63"/>
      <c r="O49" s="80"/>
      <c r="P49" s="57" t="s">
        <v>241</v>
      </c>
      <c r="Q49" t="s">
        <v>145</v>
      </c>
      <c r="R49" s="62"/>
      <c r="S49" s="63">
        <v>24.96</v>
      </c>
      <c r="T49" s="80"/>
      <c r="U49" s="57"/>
      <c r="W49" s="62"/>
      <c r="X49" s="63"/>
    </row>
    <row r="50" spans="1:24" x14ac:dyDescent="0.25">
      <c r="A50" t="s">
        <v>241</v>
      </c>
      <c r="B50" t="s">
        <v>145</v>
      </c>
      <c r="C50" s="62"/>
      <c r="D50" s="63">
        <v>46.74</v>
      </c>
      <c r="E50" s="80"/>
      <c r="F50" s="57" t="s">
        <v>248</v>
      </c>
      <c r="G50" t="s">
        <v>134</v>
      </c>
      <c r="H50" s="62">
        <v>489</v>
      </c>
      <c r="I50" s="63"/>
      <c r="J50" s="80"/>
      <c r="K50" s="57" t="s">
        <v>238</v>
      </c>
      <c r="L50" t="s">
        <v>109</v>
      </c>
      <c r="M50" s="62">
        <v>13</v>
      </c>
      <c r="N50" s="63"/>
      <c r="O50" s="80"/>
      <c r="P50" s="57" t="s">
        <v>241</v>
      </c>
      <c r="Q50" t="s">
        <v>145</v>
      </c>
      <c r="R50" s="62"/>
      <c r="S50" s="63">
        <v>26.89</v>
      </c>
      <c r="T50" s="80"/>
      <c r="U50" s="57"/>
      <c r="W50" s="62"/>
      <c r="X50" s="63"/>
    </row>
    <row r="51" spans="1:24" x14ac:dyDescent="0.25">
      <c r="A51" t="s">
        <v>241</v>
      </c>
      <c r="B51" t="s">
        <v>145</v>
      </c>
      <c r="C51" s="62"/>
      <c r="D51" s="63">
        <v>33.549999999999997</v>
      </c>
      <c r="E51" s="80"/>
      <c r="F51" s="57" t="s">
        <v>249</v>
      </c>
      <c r="G51" t="s">
        <v>133</v>
      </c>
      <c r="H51" s="62">
        <v>187.2</v>
      </c>
      <c r="I51" s="63"/>
      <c r="J51" s="80"/>
      <c r="K51" s="57" t="s">
        <v>241</v>
      </c>
      <c r="L51" t="s">
        <v>145</v>
      </c>
      <c r="M51" s="62">
        <v>45.06</v>
      </c>
      <c r="N51" s="63"/>
      <c r="O51" s="80"/>
      <c r="P51" s="57" t="s">
        <v>272</v>
      </c>
      <c r="Q51" t="s">
        <v>109</v>
      </c>
      <c r="R51" s="62"/>
      <c r="S51" s="63">
        <v>23.96</v>
      </c>
      <c r="T51" s="80"/>
      <c r="U51" s="57"/>
      <c r="W51" s="62"/>
      <c r="X51" s="63"/>
    </row>
    <row r="52" spans="1:24" x14ac:dyDescent="0.25">
      <c r="A52" t="s">
        <v>234</v>
      </c>
      <c r="B52" t="s">
        <v>145</v>
      </c>
      <c r="C52" s="62"/>
      <c r="D52" s="63">
        <v>9.01</v>
      </c>
      <c r="E52" s="80"/>
      <c r="F52" s="57" t="s">
        <v>243</v>
      </c>
      <c r="G52" t="s">
        <v>145</v>
      </c>
      <c r="H52" s="62">
        <v>140.19999999999999</v>
      </c>
      <c r="I52" s="63"/>
      <c r="J52" s="80"/>
      <c r="K52" s="57" t="s">
        <v>258</v>
      </c>
      <c r="L52" t="s">
        <v>232</v>
      </c>
      <c r="M52" s="62">
        <v>44.5</v>
      </c>
      <c r="N52" s="63"/>
      <c r="O52" s="80"/>
      <c r="P52" s="57" t="s">
        <v>241</v>
      </c>
      <c r="Q52" t="s">
        <v>145</v>
      </c>
      <c r="R52" s="62"/>
      <c r="S52" s="63">
        <v>14.93</v>
      </c>
      <c r="T52" s="80"/>
      <c r="U52" s="57"/>
      <c r="W52" s="62"/>
      <c r="X52" s="63"/>
    </row>
    <row r="53" spans="1:24" x14ac:dyDescent="0.25">
      <c r="A53" t="s">
        <v>244</v>
      </c>
      <c r="B53" t="s">
        <v>129</v>
      </c>
      <c r="C53" s="62"/>
      <c r="D53" s="63">
        <v>2.87</v>
      </c>
      <c r="E53" s="80"/>
      <c r="F53" s="57" t="s">
        <v>238</v>
      </c>
      <c r="G53" t="s">
        <v>109</v>
      </c>
      <c r="H53" s="62">
        <v>159.22999999999999</v>
      </c>
      <c r="I53" s="63"/>
      <c r="J53" s="80"/>
      <c r="K53" s="57" t="s">
        <v>259</v>
      </c>
      <c r="L53" t="s">
        <v>231</v>
      </c>
      <c r="M53" s="62">
        <v>1016.8</v>
      </c>
      <c r="N53" s="63"/>
      <c r="O53" s="80"/>
      <c r="P53" s="57" t="s">
        <v>277</v>
      </c>
      <c r="Q53" t="s">
        <v>231</v>
      </c>
      <c r="R53" s="62"/>
      <c r="S53" s="63">
        <v>77.59</v>
      </c>
      <c r="T53" s="80"/>
      <c r="U53" s="57"/>
      <c r="W53" s="62"/>
      <c r="X53" s="63"/>
    </row>
    <row r="54" spans="1:24" x14ac:dyDescent="0.25">
      <c r="A54" t="s">
        <v>284</v>
      </c>
      <c r="B54" t="s">
        <v>131</v>
      </c>
      <c r="C54" s="62"/>
      <c r="D54" s="63">
        <v>67.790000000000006</v>
      </c>
      <c r="E54" s="80"/>
      <c r="F54" s="57" t="s">
        <v>250</v>
      </c>
      <c r="G54" t="s">
        <v>48</v>
      </c>
      <c r="H54" s="62">
        <v>105</v>
      </c>
      <c r="I54" s="63"/>
      <c r="J54" s="80"/>
      <c r="K54" s="57" t="s">
        <v>259</v>
      </c>
      <c r="L54" t="s">
        <v>231</v>
      </c>
      <c r="M54" s="62">
        <v>206.3</v>
      </c>
      <c r="N54" s="63"/>
      <c r="O54" s="80"/>
      <c r="P54" s="57" t="s">
        <v>278</v>
      </c>
      <c r="Q54" t="s">
        <v>131</v>
      </c>
      <c r="R54" s="62"/>
      <c r="S54" s="63">
        <v>28.88</v>
      </c>
      <c r="T54" s="80">
        <v>46197</v>
      </c>
      <c r="U54" s="57"/>
      <c r="W54" s="62"/>
      <c r="X54" s="63"/>
    </row>
    <row r="55" spans="1:24" x14ac:dyDescent="0.25">
      <c r="A55" t="s">
        <v>284</v>
      </c>
      <c r="B55" t="s">
        <v>131</v>
      </c>
      <c r="C55" s="62"/>
      <c r="D55" s="63">
        <v>54.67</v>
      </c>
      <c r="E55" s="80"/>
      <c r="F55" s="57" t="s">
        <v>238</v>
      </c>
      <c r="G55" t="s">
        <v>109</v>
      </c>
      <c r="H55" s="62">
        <v>23.25</v>
      </c>
      <c r="I55" s="63"/>
      <c r="J55" s="80"/>
      <c r="K55" s="57" t="s">
        <v>236</v>
      </c>
      <c r="L55" t="s">
        <v>145</v>
      </c>
      <c r="M55" s="62">
        <v>27.2</v>
      </c>
      <c r="N55" s="63"/>
      <c r="O55" s="80"/>
      <c r="P55" s="97" t="s">
        <v>325</v>
      </c>
      <c r="Q55" t="s">
        <v>229</v>
      </c>
      <c r="R55" s="62">
        <v>8000</v>
      </c>
      <c r="S55" s="63"/>
      <c r="T55" s="80"/>
      <c r="U55" s="57"/>
      <c r="W55" s="62"/>
      <c r="X55" s="63"/>
    </row>
    <row r="56" spans="1:24" x14ac:dyDescent="0.25">
      <c r="A56" t="s">
        <v>286</v>
      </c>
      <c r="B56" t="s">
        <v>133</v>
      </c>
      <c r="C56" s="62"/>
      <c r="D56" s="63">
        <v>21.99</v>
      </c>
      <c r="E56" s="80"/>
      <c r="F56" s="57" t="s">
        <v>241</v>
      </c>
      <c r="G56" t="s">
        <v>145</v>
      </c>
      <c r="H56" s="62">
        <v>160.19999999999999</v>
      </c>
      <c r="I56" s="63"/>
      <c r="J56" s="80">
        <v>46187</v>
      </c>
      <c r="K56" s="57" t="s">
        <v>260</v>
      </c>
      <c r="L56" t="s">
        <v>145</v>
      </c>
      <c r="M56" s="62">
        <v>65.150000000000006</v>
      </c>
      <c r="N56" s="63"/>
      <c r="O56" s="80"/>
      <c r="P56" s="57" t="s">
        <v>243</v>
      </c>
      <c r="Q56" t="s">
        <v>145</v>
      </c>
      <c r="R56" s="62">
        <v>64.400000000000006</v>
      </c>
      <c r="S56" s="63"/>
      <c r="T56" s="80"/>
      <c r="U56" s="57"/>
      <c r="W56" s="62"/>
      <c r="X56" s="63"/>
    </row>
    <row r="57" spans="1:24" x14ac:dyDescent="0.25">
      <c r="A57" t="s">
        <v>287</v>
      </c>
      <c r="B57" t="s">
        <v>109</v>
      </c>
      <c r="C57" s="62"/>
      <c r="D57" s="63">
        <v>57.78</v>
      </c>
      <c r="E57" s="80"/>
      <c r="F57" t="s">
        <v>241</v>
      </c>
      <c r="G57" t="s">
        <v>145</v>
      </c>
      <c r="H57" s="62"/>
      <c r="I57" s="63">
        <v>45.02</v>
      </c>
      <c r="J57" s="80"/>
      <c r="K57" s="57" t="s">
        <v>243</v>
      </c>
      <c r="L57" t="s">
        <v>145</v>
      </c>
      <c r="M57" s="62">
        <v>255.18</v>
      </c>
      <c r="N57" s="63"/>
      <c r="O57" s="80"/>
      <c r="P57" s="57" t="s">
        <v>272</v>
      </c>
      <c r="Q57" t="s">
        <v>109</v>
      </c>
      <c r="R57" s="62">
        <v>53.5</v>
      </c>
      <c r="S57" s="63"/>
      <c r="T57" s="80"/>
      <c r="U57" s="57"/>
      <c r="W57" s="62"/>
      <c r="X57" s="63"/>
    </row>
    <row r="58" spans="1:24" x14ac:dyDescent="0.25">
      <c r="A58" t="s">
        <v>285</v>
      </c>
      <c r="B58" t="s">
        <v>137</v>
      </c>
      <c r="C58" s="62"/>
      <c r="D58" s="63">
        <v>29.99</v>
      </c>
      <c r="E58" s="80"/>
      <c r="F58" t="s">
        <v>241</v>
      </c>
      <c r="G58" t="s">
        <v>145</v>
      </c>
      <c r="H58" s="62"/>
      <c r="I58" s="63">
        <v>19.989999999999998</v>
      </c>
      <c r="J58" s="80"/>
      <c r="K58" s="57" t="s">
        <v>238</v>
      </c>
      <c r="L58" t="s">
        <v>109</v>
      </c>
      <c r="M58" s="62">
        <v>21.75</v>
      </c>
      <c r="N58" s="63"/>
      <c r="O58" s="80"/>
      <c r="P58" s="57" t="s">
        <v>326</v>
      </c>
      <c r="Q58" t="s">
        <v>48</v>
      </c>
      <c r="R58" s="62">
        <v>530</v>
      </c>
      <c r="S58" s="63"/>
      <c r="T58" s="80"/>
      <c r="U58" s="57"/>
      <c r="W58" s="62"/>
      <c r="X58" s="63"/>
    </row>
    <row r="59" spans="1:24" x14ac:dyDescent="0.25">
      <c r="A59" t="s">
        <v>288</v>
      </c>
      <c r="B59" t="s">
        <v>134</v>
      </c>
      <c r="C59" s="62"/>
      <c r="D59" s="63">
        <v>9.8000000000000007</v>
      </c>
      <c r="E59" s="80"/>
      <c r="F59" t="s">
        <v>270</v>
      </c>
      <c r="G59" t="s">
        <v>48</v>
      </c>
      <c r="H59" s="62"/>
      <c r="I59" s="63">
        <v>47.26</v>
      </c>
      <c r="J59" s="80"/>
      <c r="K59" s="57" t="s">
        <v>261</v>
      </c>
      <c r="L59" t="s">
        <v>109</v>
      </c>
      <c r="M59" s="62">
        <v>18.5</v>
      </c>
      <c r="N59" s="63"/>
      <c r="O59" s="80"/>
      <c r="P59" s="57"/>
      <c r="R59" s="62"/>
      <c r="S59" s="63"/>
      <c r="T59" s="80"/>
      <c r="U59" s="57"/>
      <c r="W59" s="62"/>
      <c r="X59" s="63"/>
    </row>
    <row r="60" spans="1:24" x14ac:dyDescent="0.25">
      <c r="A60" t="s">
        <v>289</v>
      </c>
      <c r="B60" t="s">
        <v>134</v>
      </c>
      <c r="C60" s="62"/>
      <c r="D60" s="63">
        <v>5.2</v>
      </c>
      <c r="E60" s="80"/>
      <c r="F60" s="57"/>
      <c r="H60" s="62"/>
      <c r="I60" s="63"/>
      <c r="J60" s="80"/>
      <c r="K60" s="57" t="s">
        <v>238</v>
      </c>
      <c r="L60" t="s">
        <v>109</v>
      </c>
      <c r="M60" s="62">
        <v>36.5</v>
      </c>
      <c r="N60" s="63"/>
      <c r="O60" s="80"/>
      <c r="P60" s="57"/>
      <c r="R60" s="62"/>
      <c r="S60" s="63"/>
      <c r="T60" s="80"/>
      <c r="U60" s="57"/>
      <c r="W60" s="62"/>
      <c r="X60" s="63"/>
    </row>
    <row r="61" spans="1:24" x14ac:dyDescent="0.25">
      <c r="A61" t="s">
        <v>290</v>
      </c>
      <c r="B61" t="s">
        <v>48</v>
      </c>
      <c r="C61" s="62"/>
      <c r="D61" s="63">
        <v>97.2</v>
      </c>
      <c r="E61" s="80"/>
      <c r="F61" s="57"/>
      <c r="H61" s="62"/>
      <c r="I61" s="63"/>
      <c r="J61" s="80"/>
      <c r="K61" s="57" t="s">
        <v>257</v>
      </c>
      <c r="L61" t="s">
        <v>97</v>
      </c>
      <c r="M61" s="62">
        <v>18</v>
      </c>
      <c r="N61" s="63"/>
      <c r="O61" s="80"/>
      <c r="P61" s="57"/>
      <c r="R61" s="62"/>
      <c r="S61" s="63"/>
      <c r="T61" s="80"/>
      <c r="U61" s="57"/>
      <c r="W61" s="62"/>
      <c r="X61" s="63"/>
    </row>
    <row r="62" spans="1:24" x14ac:dyDescent="0.25">
      <c r="A62" t="s">
        <v>291</v>
      </c>
      <c r="B62" t="s">
        <v>134</v>
      </c>
      <c r="C62" s="62"/>
      <c r="D62" s="63">
        <v>60.8</v>
      </c>
      <c r="E62" s="80"/>
      <c r="F62" s="57"/>
      <c r="H62" s="62"/>
      <c r="I62" s="63"/>
      <c r="J62" s="80"/>
      <c r="K62" s="57" t="s">
        <v>262</v>
      </c>
      <c r="L62" t="s">
        <v>97</v>
      </c>
      <c r="M62" s="62">
        <v>10</v>
      </c>
      <c r="N62" s="63"/>
      <c r="O62" s="80">
        <v>46194</v>
      </c>
      <c r="P62" s="57"/>
      <c r="R62" s="62"/>
      <c r="S62" s="63"/>
      <c r="T62" s="80"/>
      <c r="U62" s="57"/>
      <c r="W62" s="62"/>
      <c r="X62" s="63"/>
    </row>
    <row r="63" spans="1:24" x14ac:dyDescent="0.25">
      <c r="A63" t="s">
        <v>292</v>
      </c>
      <c r="B63" t="s">
        <v>134</v>
      </c>
      <c r="C63" s="62"/>
      <c r="D63" s="63">
        <v>60.7</v>
      </c>
      <c r="E63" s="80"/>
      <c r="F63" s="57"/>
      <c r="H63" s="62"/>
      <c r="I63" s="63"/>
      <c r="J63" s="80"/>
      <c r="K63" s="57" t="s">
        <v>271</v>
      </c>
      <c r="L63" t="s">
        <v>109</v>
      </c>
      <c r="M63" s="62"/>
      <c r="N63" s="63">
        <v>5.89</v>
      </c>
      <c r="O63" s="80"/>
      <c r="P63" s="57"/>
      <c r="R63" s="62"/>
      <c r="S63" s="63"/>
      <c r="T63" s="80"/>
      <c r="U63" s="57"/>
      <c r="W63" s="62"/>
      <c r="X63" s="63"/>
    </row>
    <row r="64" spans="1:24" x14ac:dyDescent="0.25">
      <c r="A64" t="s">
        <v>293</v>
      </c>
      <c r="B64" t="s">
        <v>144</v>
      </c>
      <c r="C64" s="62"/>
      <c r="D64" s="63">
        <v>147.93</v>
      </c>
      <c r="E64" s="80"/>
      <c r="F64" s="57"/>
      <c r="H64" s="62"/>
      <c r="I64" s="63"/>
      <c r="J64" s="80"/>
      <c r="K64" s="57" t="s">
        <v>241</v>
      </c>
      <c r="L64" t="s">
        <v>145</v>
      </c>
      <c r="M64" s="62"/>
      <c r="N64" s="63">
        <v>22.09</v>
      </c>
      <c r="O64" s="80"/>
      <c r="P64" s="57"/>
      <c r="R64" s="62"/>
      <c r="S64" s="63"/>
      <c r="T64" s="80"/>
      <c r="U64" s="57"/>
      <c r="W64" s="62"/>
      <c r="X64" s="63"/>
    </row>
    <row r="65" spans="1:24" x14ac:dyDescent="0.25">
      <c r="A65" t="s">
        <v>294</v>
      </c>
      <c r="B65" t="s">
        <v>130</v>
      </c>
      <c r="C65" s="62"/>
      <c r="D65" s="63">
        <v>116.29</v>
      </c>
      <c r="E65" s="80"/>
      <c r="F65" s="57"/>
      <c r="H65" s="62"/>
      <c r="I65" s="63"/>
      <c r="J65" s="80"/>
      <c r="K65" s="57" t="s">
        <v>272</v>
      </c>
      <c r="L65" t="s">
        <v>109</v>
      </c>
      <c r="M65" s="62"/>
      <c r="N65" s="63">
        <v>14.71</v>
      </c>
      <c r="O65" s="80"/>
      <c r="P65" s="57"/>
      <c r="R65" s="62"/>
      <c r="S65" s="63"/>
      <c r="T65" s="80"/>
      <c r="U65" s="57"/>
      <c r="W65" s="62"/>
      <c r="X65" s="63"/>
    </row>
    <row r="66" spans="1:24" x14ac:dyDescent="0.25">
      <c r="A66" t="s">
        <v>295</v>
      </c>
      <c r="B66" t="s">
        <v>97</v>
      </c>
      <c r="C66" s="62"/>
      <c r="D66" s="63">
        <v>149.83000000000001</v>
      </c>
      <c r="E66" s="80"/>
      <c r="F66" s="57"/>
      <c r="H66" s="62"/>
      <c r="I66" s="63"/>
      <c r="J66" s="80"/>
      <c r="K66" s="57" t="s">
        <v>273</v>
      </c>
      <c r="L66" t="s">
        <v>137</v>
      </c>
      <c r="M66" s="62"/>
      <c r="N66" s="63">
        <v>6.6</v>
      </c>
      <c r="O66" s="80"/>
      <c r="P66" s="57"/>
      <c r="R66" s="62"/>
      <c r="S66" s="63"/>
      <c r="T66" s="80"/>
      <c r="U66" s="57"/>
      <c r="W66" s="62"/>
      <c r="X66" s="63"/>
    </row>
    <row r="67" spans="1:24" x14ac:dyDescent="0.25">
      <c r="A67" t="s">
        <v>296</v>
      </c>
      <c r="B67" t="s">
        <v>133</v>
      </c>
      <c r="C67" s="62"/>
      <c r="D67" s="63">
        <v>21</v>
      </c>
      <c r="E67" s="80"/>
      <c r="F67" s="57"/>
      <c r="H67" s="62"/>
      <c r="I67" s="63"/>
      <c r="J67" s="80"/>
      <c r="K67" s="57" t="s">
        <v>241</v>
      </c>
      <c r="L67" t="s">
        <v>145</v>
      </c>
      <c r="M67" s="62"/>
      <c r="N67" s="63">
        <v>25.68</v>
      </c>
      <c r="O67" s="80"/>
      <c r="P67" s="57"/>
      <c r="R67" s="62"/>
      <c r="S67" s="63"/>
      <c r="T67" s="80"/>
      <c r="U67" s="57"/>
      <c r="W67" s="62"/>
      <c r="X67" s="63"/>
    </row>
    <row r="68" spans="1:24" x14ac:dyDescent="0.25">
      <c r="A68" t="s">
        <v>297</v>
      </c>
      <c r="B68" t="s">
        <v>131</v>
      </c>
      <c r="C68" s="62"/>
      <c r="D68" s="63">
        <v>117.53</v>
      </c>
      <c r="E68" s="80"/>
      <c r="F68" s="57"/>
      <c r="H68" s="62"/>
      <c r="I68" s="63"/>
      <c r="J68" s="80"/>
      <c r="K68" s="57" t="s">
        <v>274</v>
      </c>
      <c r="L68" t="s">
        <v>134</v>
      </c>
      <c r="M68" s="62"/>
      <c r="N68" s="63">
        <v>62.4</v>
      </c>
      <c r="O68" s="80"/>
      <c r="P68" s="57"/>
      <c r="R68" s="62"/>
      <c r="S68" s="63"/>
      <c r="T68" s="80"/>
      <c r="U68" s="57"/>
      <c r="W68" s="62"/>
      <c r="X68" s="63"/>
    </row>
    <row r="69" spans="1:24" x14ac:dyDescent="0.25">
      <c r="A69" t="s">
        <v>298</v>
      </c>
      <c r="B69" t="s">
        <v>134</v>
      </c>
      <c r="C69" s="62"/>
      <c r="D69" s="63">
        <v>5</v>
      </c>
      <c r="E69" s="80"/>
      <c r="F69" s="57"/>
      <c r="H69" s="62"/>
      <c r="I69" s="63"/>
      <c r="J69" s="80"/>
      <c r="K69" s="57" t="s">
        <v>275</v>
      </c>
      <c r="L69" t="s">
        <v>134</v>
      </c>
      <c r="M69" s="62"/>
      <c r="N69" s="63">
        <v>22.1</v>
      </c>
      <c r="O69" s="80"/>
      <c r="P69" s="57"/>
      <c r="R69" s="62"/>
      <c r="S69" s="63"/>
      <c r="T69" s="80"/>
      <c r="U69" s="57"/>
      <c r="W69" s="62"/>
      <c r="X69" s="63"/>
    </row>
    <row r="70" spans="1:24" x14ac:dyDescent="0.25">
      <c r="A70" t="s">
        <v>241</v>
      </c>
      <c r="B70" t="s">
        <v>109</v>
      </c>
      <c r="C70" s="62"/>
      <c r="D70" s="63">
        <v>4</v>
      </c>
      <c r="E70" s="80"/>
      <c r="F70" s="57"/>
      <c r="H70" s="62"/>
      <c r="I70" s="63"/>
      <c r="J70" s="80"/>
      <c r="K70" s="57" t="s">
        <v>241</v>
      </c>
      <c r="L70" t="s">
        <v>145</v>
      </c>
      <c r="M70" s="62"/>
      <c r="N70" s="63">
        <v>30.73</v>
      </c>
      <c r="O70" s="80"/>
      <c r="P70" s="57"/>
      <c r="R70" s="62"/>
      <c r="S70" s="63"/>
      <c r="T70" s="80"/>
      <c r="U70" s="57"/>
      <c r="W70" s="62"/>
      <c r="X70" s="63"/>
    </row>
    <row r="71" spans="1:24" x14ac:dyDescent="0.25">
      <c r="A71" t="s">
        <v>299</v>
      </c>
      <c r="B71" t="s">
        <v>134</v>
      </c>
      <c r="C71" s="62"/>
      <c r="D71" s="63">
        <v>10.46</v>
      </c>
      <c r="E71" s="80"/>
      <c r="F71" s="57"/>
      <c r="H71" s="62"/>
      <c r="I71" s="63"/>
      <c r="J71" s="80"/>
      <c r="K71" s="57" t="s">
        <v>241</v>
      </c>
      <c r="L71" t="s">
        <v>145</v>
      </c>
      <c r="M71" s="62"/>
      <c r="N71" s="63">
        <v>34.119999999999997</v>
      </c>
      <c r="O71" s="80"/>
      <c r="P71" s="57"/>
      <c r="R71" s="62"/>
      <c r="S71" s="63"/>
      <c r="T71" s="80"/>
      <c r="U71" s="57"/>
      <c r="W71" s="62"/>
      <c r="X71" s="63"/>
    </row>
    <row r="72" spans="1:24" x14ac:dyDescent="0.25">
      <c r="A72" t="s">
        <v>243</v>
      </c>
      <c r="B72" t="s">
        <v>145</v>
      </c>
      <c r="C72" s="62">
        <v>86.1</v>
      </c>
      <c r="D72" s="63"/>
      <c r="E72" s="80"/>
      <c r="F72" s="57"/>
      <c r="H72" s="62"/>
      <c r="I72" s="63"/>
      <c r="J72" s="80"/>
      <c r="K72" s="57" t="s">
        <v>241</v>
      </c>
      <c r="L72" t="s">
        <v>145</v>
      </c>
      <c r="M72" s="62"/>
      <c r="N72" s="63">
        <v>30.91</v>
      </c>
      <c r="O72" s="80"/>
      <c r="P72" s="57"/>
      <c r="R72" s="62"/>
      <c r="S72" s="63"/>
      <c r="T72" s="80"/>
      <c r="U72" s="57"/>
      <c r="W72" s="62"/>
      <c r="X72" s="63"/>
    </row>
    <row r="73" spans="1:24" x14ac:dyDescent="0.25">
      <c r="A73" t="s">
        <v>304</v>
      </c>
      <c r="B73" t="s">
        <v>97</v>
      </c>
      <c r="C73" s="62"/>
      <c r="D73" s="63">
        <v>11.96</v>
      </c>
      <c r="E73" s="80"/>
      <c r="F73" s="57"/>
      <c r="H73" s="62"/>
      <c r="I73" s="63"/>
      <c r="J73" s="80"/>
      <c r="K73" s="57" t="s">
        <v>241</v>
      </c>
      <c r="L73" t="s">
        <v>109</v>
      </c>
      <c r="M73" s="62"/>
      <c r="N73" s="63">
        <v>17.32</v>
      </c>
      <c r="O73" s="80"/>
      <c r="P73" s="57"/>
      <c r="R73" s="62"/>
      <c r="S73" s="63"/>
      <c r="T73" s="80"/>
      <c r="U73" s="57"/>
      <c r="W73" s="62"/>
      <c r="X73" s="63"/>
    </row>
    <row r="74" spans="1:24" x14ac:dyDescent="0.25">
      <c r="A74" t="s">
        <v>305</v>
      </c>
      <c r="B74" t="s">
        <v>133</v>
      </c>
      <c r="C74" s="62"/>
      <c r="D74" s="63">
        <v>46</v>
      </c>
      <c r="E74" s="80"/>
      <c r="F74" s="57"/>
      <c r="H74" s="62"/>
      <c r="I74" s="63"/>
      <c r="J74" s="80"/>
      <c r="K74" s="57" t="s">
        <v>241</v>
      </c>
      <c r="L74" t="s">
        <v>145</v>
      </c>
      <c r="M74" s="62"/>
      <c r="N74" s="63">
        <v>11.3</v>
      </c>
      <c r="O74" s="80"/>
      <c r="P74" s="57"/>
      <c r="R74" s="62"/>
      <c r="S74" s="63"/>
      <c r="T74" s="80"/>
      <c r="U74" s="57"/>
      <c r="W74" s="62"/>
      <c r="X74" s="63"/>
    </row>
    <row r="75" spans="1:24" x14ac:dyDescent="0.25">
      <c r="A75" t="s">
        <v>306</v>
      </c>
      <c r="B75" t="s">
        <v>133</v>
      </c>
      <c r="C75" s="62"/>
      <c r="D75" s="63">
        <v>12</v>
      </c>
      <c r="E75" s="80"/>
      <c r="F75" s="57"/>
      <c r="H75" s="62"/>
      <c r="I75" s="63"/>
      <c r="J75" s="80"/>
      <c r="K75" s="57" t="s">
        <v>276</v>
      </c>
      <c r="L75" t="s">
        <v>129</v>
      </c>
      <c r="M75" s="62"/>
      <c r="N75" s="63">
        <v>11.07</v>
      </c>
      <c r="O75" s="80"/>
      <c r="P75" s="57"/>
      <c r="R75" s="62"/>
      <c r="S75" s="63"/>
      <c r="T75" s="80"/>
      <c r="U75" s="57"/>
      <c r="W75" s="62"/>
      <c r="X75" s="63"/>
    </row>
    <row r="76" spans="1:24" x14ac:dyDescent="0.25">
      <c r="A76" t="s">
        <v>307</v>
      </c>
      <c r="B76" t="s">
        <v>133</v>
      </c>
      <c r="C76" s="62"/>
      <c r="D76" s="63">
        <v>59.99</v>
      </c>
      <c r="E76" s="80"/>
      <c r="F76" s="57"/>
      <c r="H76" s="62"/>
      <c r="I76" s="63"/>
      <c r="J76" s="80"/>
      <c r="K76" s="57"/>
      <c r="M76" s="62"/>
      <c r="N76" s="63"/>
      <c r="O76" s="80"/>
      <c r="P76" s="57"/>
      <c r="R76" s="62"/>
      <c r="S76" s="63"/>
      <c r="T76" s="80"/>
      <c r="U76" s="57"/>
      <c r="W76" s="62"/>
      <c r="X76" s="63"/>
    </row>
    <row r="77" spans="1:24" x14ac:dyDescent="0.25">
      <c r="A77" t="s">
        <v>308</v>
      </c>
      <c r="B77" t="s">
        <v>133</v>
      </c>
      <c r="C77" s="62"/>
      <c r="D77" s="63">
        <v>52</v>
      </c>
      <c r="E77" s="80"/>
      <c r="F77" s="57"/>
      <c r="H77" s="62"/>
      <c r="I77" s="63"/>
      <c r="J77" s="80"/>
      <c r="K77" s="57"/>
      <c r="M77" s="62"/>
      <c r="N77" s="63"/>
      <c r="O77" s="80"/>
      <c r="P77" s="57"/>
      <c r="R77" s="62"/>
      <c r="S77" s="63"/>
      <c r="T77" s="80"/>
      <c r="U77" s="57"/>
      <c r="W77" s="62"/>
      <c r="X77" s="63"/>
    </row>
    <row r="78" spans="1:24" x14ac:dyDescent="0.25">
      <c r="A78" t="s">
        <v>309</v>
      </c>
      <c r="B78" t="s">
        <v>48</v>
      </c>
      <c r="C78" s="62"/>
      <c r="D78" s="63">
        <v>52.2</v>
      </c>
      <c r="E78" s="80"/>
      <c r="F78" s="57"/>
      <c r="H78" s="62"/>
      <c r="I78" s="63"/>
      <c r="J78" s="80"/>
      <c r="K78" s="57"/>
      <c r="M78" s="62"/>
      <c r="N78" s="63"/>
      <c r="O78" s="80"/>
      <c r="P78" s="57"/>
      <c r="R78" s="62"/>
      <c r="S78" s="63"/>
      <c r="T78" s="80"/>
      <c r="U78" s="57"/>
      <c r="W78" s="62"/>
      <c r="X78" s="63"/>
    </row>
    <row r="79" spans="1:24" x14ac:dyDescent="0.25">
      <c r="A79" t="s">
        <v>310</v>
      </c>
      <c r="B79" t="s">
        <v>48</v>
      </c>
      <c r="C79" s="62"/>
      <c r="D79" s="63">
        <v>33.6</v>
      </c>
      <c r="E79" s="80"/>
      <c r="F79" s="57"/>
      <c r="H79" s="62"/>
      <c r="I79" s="63"/>
      <c r="J79" s="80"/>
      <c r="K79" s="57"/>
      <c r="M79" s="62"/>
      <c r="N79" s="63"/>
      <c r="O79" s="80"/>
      <c r="P79" s="57"/>
      <c r="R79" s="62"/>
      <c r="S79" s="63"/>
      <c r="T79" s="80"/>
      <c r="U79" s="57"/>
      <c r="W79" s="62"/>
      <c r="X79" s="63"/>
    </row>
    <row r="80" spans="1:24" x14ac:dyDescent="0.25">
      <c r="A80" t="s">
        <v>312</v>
      </c>
      <c r="B80" t="s">
        <v>48</v>
      </c>
      <c r="C80" s="62"/>
      <c r="D80" s="63">
        <v>10</v>
      </c>
      <c r="E80" s="80"/>
      <c r="F80" s="57"/>
      <c r="H80" s="62"/>
      <c r="I80" s="63"/>
      <c r="J80" s="80"/>
      <c r="K80" s="57"/>
      <c r="M80" s="62"/>
      <c r="N80" s="63"/>
      <c r="O80" s="80"/>
      <c r="P80" s="57"/>
      <c r="R80" s="62"/>
      <c r="S80" s="63"/>
      <c r="T80" s="80"/>
      <c r="U80" s="57"/>
      <c r="W80" s="62"/>
      <c r="X80" s="63"/>
    </row>
    <row r="81" spans="1:24" x14ac:dyDescent="0.25">
      <c r="A81" t="s">
        <v>311</v>
      </c>
      <c r="B81" t="s">
        <v>133</v>
      </c>
      <c r="C81" s="62"/>
      <c r="D81" s="63">
        <v>108.9</v>
      </c>
      <c r="E81" s="80"/>
      <c r="F81" s="57"/>
      <c r="H81" s="62"/>
      <c r="I81" s="63"/>
      <c r="J81" s="80"/>
      <c r="K81" s="57"/>
      <c r="M81" s="62"/>
      <c r="N81" s="63"/>
      <c r="O81" s="80"/>
      <c r="P81" s="57"/>
      <c r="R81" s="62"/>
      <c r="S81" s="63"/>
      <c r="T81" s="80"/>
      <c r="U81" s="57"/>
      <c r="W81" s="62"/>
      <c r="X81" s="63"/>
    </row>
    <row r="82" spans="1:24" x14ac:dyDescent="0.25">
      <c r="A82" t="s">
        <v>313</v>
      </c>
      <c r="B82" t="s">
        <v>133</v>
      </c>
      <c r="C82" s="62"/>
      <c r="D82" s="63">
        <v>120.23</v>
      </c>
      <c r="E82" s="80"/>
      <c r="F82" s="57"/>
      <c r="H82" s="62"/>
      <c r="I82" s="63"/>
      <c r="J82" s="80"/>
      <c r="K82" s="57"/>
      <c r="M82" s="62"/>
      <c r="N82" s="63"/>
      <c r="O82" s="80"/>
      <c r="P82" s="57"/>
      <c r="R82" s="62"/>
      <c r="S82" s="63"/>
      <c r="T82" s="80"/>
      <c r="U82" s="57"/>
      <c r="W82" s="62"/>
      <c r="X82" s="63"/>
    </row>
    <row r="83" spans="1:24" x14ac:dyDescent="0.25">
      <c r="A83" t="s">
        <v>314</v>
      </c>
      <c r="B83" t="s">
        <v>134</v>
      </c>
      <c r="C83" s="62"/>
      <c r="D83" s="63">
        <v>51.76</v>
      </c>
      <c r="E83" s="80"/>
      <c r="F83" s="57"/>
      <c r="H83" s="62"/>
      <c r="I83" s="63"/>
      <c r="J83" s="80"/>
      <c r="K83" s="57"/>
      <c r="M83" s="62"/>
      <c r="N83" s="63"/>
      <c r="O83" s="80"/>
      <c r="P83" s="57"/>
      <c r="R83" s="62"/>
      <c r="S83" s="63"/>
      <c r="T83" s="80"/>
      <c r="U83" s="57"/>
      <c r="W83" s="62"/>
      <c r="X83" s="63"/>
    </row>
    <row r="84" spans="1:24" x14ac:dyDescent="0.25">
      <c r="A84" t="s">
        <v>291</v>
      </c>
      <c r="B84" t="s">
        <v>133</v>
      </c>
      <c r="C84" s="62"/>
      <c r="D84" s="63">
        <v>204.6</v>
      </c>
      <c r="E84" s="80"/>
      <c r="F84" s="57"/>
      <c r="H84" s="62"/>
      <c r="I84" s="63"/>
      <c r="J84" s="80"/>
      <c r="K84" s="57"/>
      <c r="M84" s="62"/>
      <c r="N84" s="63"/>
      <c r="O84" s="80"/>
      <c r="P84" s="57"/>
      <c r="R84" s="62"/>
      <c r="S84" s="63"/>
      <c r="T84" s="80"/>
      <c r="U84" s="57"/>
      <c r="W84" s="62"/>
      <c r="X84" s="63"/>
    </row>
    <row r="85" spans="1:24" x14ac:dyDescent="0.25">
      <c r="A85" t="s">
        <v>292</v>
      </c>
      <c r="B85" t="s">
        <v>134</v>
      </c>
      <c r="C85" s="62"/>
      <c r="D85" s="63">
        <v>39.9</v>
      </c>
      <c r="E85" s="80"/>
      <c r="F85" s="57"/>
      <c r="H85" s="62"/>
      <c r="I85" s="63"/>
      <c r="J85" s="80"/>
      <c r="K85" s="57"/>
      <c r="M85" s="62"/>
      <c r="N85" s="63"/>
      <c r="O85" s="80"/>
      <c r="P85" s="57"/>
      <c r="R85" s="62"/>
      <c r="S85" s="63"/>
      <c r="T85" s="80"/>
      <c r="U85" s="57"/>
      <c r="W85" s="62"/>
      <c r="X85" s="63"/>
    </row>
    <row r="86" spans="1:24" x14ac:dyDescent="0.25">
      <c r="A86" t="s">
        <v>315</v>
      </c>
      <c r="B86" t="s">
        <v>109</v>
      </c>
      <c r="C86" s="62"/>
      <c r="D86" s="63">
        <v>11.4</v>
      </c>
      <c r="E86" s="80"/>
      <c r="F86" s="57"/>
      <c r="H86" s="62"/>
      <c r="I86" s="63"/>
      <c r="J86" s="80"/>
      <c r="K86" s="57"/>
      <c r="M86" s="62"/>
      <c r="N86" s="63"/>
      <c r="O86" s="80"/>
      <c r="P86" s="57"/>
      <c r="R86" s="62"/>
      <c r="S86" s="63"/>
      <c r="T86" s="80"/>
      <c r="U86" s="57"/>
      <c r="W86" s="62"/>
      <c r="X86" s="63"/>
    </row>
    <row r="87" spans="1:24" x14ac:dyDescent="0.25">
      <c r="A87" t="s">
        <v>316</v>
      </c>
      <c r="B87" t="s">
        <v>131</v>
      </c>
      <c r="C87" s="62"/>
      <c r="D87" s="63">
        <v>18.350000000000001</v>
      </c>
      <c r="E87" s="80"/>
      <c r="F87" s="57"/>
      <c r="H87" s="62"/>
      <c r="I87" s="63"/>
      <c r="J87" s="80"/>
      <c r="K87" s="57"/>
      <c r="M87" s="62"/>
      <c r="N87" s="63"/>
      <c r="O87" s="80"/>
      <c r="P87" s="57"/>
      <c r="R87" s="62"/>
      <c r="S87" s="63"/>
      <c r="T87" s="80"/>
      <c r="U87" s="57"/>
      <c r="W87" s="62"/>
      <c r="X87" s="63"/>
    </row>
    <row r="88" spans="1:24" x14ac:dyDescent="0.25">
      <c r="A88" t="s">
        <v>317</v>
      </c>
      <c r="B88" t="s">
        <v>48</v>
      </c>
      <c r="C88" s="62"/>
      <c r="D88" s="63">
        <v>20</v>
      </c>
      <c r="E88" s="80"/>
      <c r="F88" s="57"/>
      <c r="H88" s="62"/>
      <c r="I88" s="63"/>
      <c r="J88" s="80"/>
      <c r="K88" s="57"/>
      <c r="M88" s="62"/>
      <c r="N88" s="63"/>
      <c r="O88" s="80"/>
      <c r="P88" s="57"/>
      <c r="R88" s="62"/>
      <c r="S88" s="63"/>
      <c r="T88" s="80"/>
      <c r="U88" s="57"/>
      <c r="W88" s="62"/>
      <c r="X88" s="63"/>
    </row>
    <row r="89" spans="1:24" x14ac:dyDescent="0.25">
      <c r="A89" t="s">
        <v>318</v>
      </c>
      <c r="B89" t="s">
        <v>131</v>
      </c>
      <c r="C89" s="62"/>
      <c r="D89" s="63">
        <v>151.25</v>
      </c>
      <c r="E89" s="80"/>
      <c r="F89" s="57"/>
      <c r="H89" s="62"/>
      <c r="I89" s="63"/>
      <c r="J89" s="80"/>
      <c r="K89" s="57"/>
      <c r="M89" s="62"/>
      <c r="N89" s="63"/>
      <c r="O89" s="80"/>
      <c r="P89" s="57"/>
      <c r="R89" s="62"/>
      <c r="S89" s="63"/>
      <c r="T89" s="80"/>
      <c r="U89" s="57"/>
      <c r="W89" s="62"/>
      <c r="X89" s="63"/>
    </row>
    <row r="90" spans="1:24" x14ac:dyDescent="0.25">
      <c r="A90" t="s">
        <v>319</v>
      </c>
      <c r="B90" t="s">
        <v>109</v>
      </c>
      <c r="C90" s="62"/>
      <c r="D90" s="63">
        <v>86.4</v>
      </c>
      <c r="E90" s="80"/>
      <c r="F90" s="57"/>
      <c r="H90" s="62"/>
      <c r="I90" s="63"/>
      <c r="J90" s="80"/>
      <c r="K90" s="57"/>
      <c r="M90" s="62"/>
      <c r="N90" s="63"/>
      <c r="O90" s="80"/>
      <c r="P90" s="57"/>
      <c r="R90" s="62"/>
      <c r="S90" s="63"/>
      <c r="T90" s="80"/>
      <c r="U90" s="57"/>
      <c r="W90" s="62"/>
      <c r="X90" s="63"/>
    </row>
    <row r="91" spans="1:24" x14ac:dyDescent="0.25">
      <c r="A91" t="s">
        <v>315</v>
      </c>
      <c r="B91" t="s">
        <v>109</v>
      </c>
      <c r="C91" s="62"/>
      <c r="D91" s="63">
        <v>17</v>
      </c>
      <c r="E91" s="80"/>
      <c r="F91" s="57"/>
      <c r="H91" s="62"/>
      <c r="I91" s="63"/>
      <c r="J91" s="80"/>
      <c r="K91" s="57"/>
      <c r="M91" s="62"/>
      <c r="N91" s="63"/>
      <c r="O91" s="80"/>
      <c r="P91" s="57"/>
      <c r="R91" s="62"/>
      <c r="S91" s="63"/>
      <c r="T91" s="80"/>
      <c r="U91" s="57"/>
      <c r="W91" s="62"/>
      <c r="X91" s="63"/>
    </row>
    <row r="92" spans="1:24" x14ac:dyDescent="0.25">
      <c r="A92" t="s">
        <v>320</v>
      </c>
      <c r="B92" t="s">
        <v>48</v>
      </c>
      <c r="C92" s="62"/>
      <c r="D92" s="63">
        <v>92</v>
      </c>
      <c r="E92" s="80"/>
      <c r="F92" s="57"/>
      <c r="H92" s="62"/>
      <c r="I92" s="63"/>
      <c r="J92" s="80"/>
      <c r="K92" s="57"/>
      <c r="M92" s="62"/>
      <c r="N92" s="63"/>
      <c r="O92" s="80"/>
      <c r="P92" s="57"/>
      <c r="R92" s="62"/>
      <c r="S92" s="63"/>
      <c r="T92" s="80"/>
      <c r="U92" s="57"/>
      <c r="W92" s="62"/>
      <c r="X92" s="63"/>
    </row>
    <row r="93" spans="1:24" x14ac:dyDescent="0.25">
      <c r="A93" t="s">
        <v>321</v>
      </c>
      <c r="B93" t="s">
        <v>48</v>
      </c>
      <c r="C93" s="62"/>
      <c r="D93" s="63">
        <v>34.299999999999997</v>
      </c>
      <c r="E93" s="80"/>
      <c r="F93" s="57"/>
      <c r="H93" s="62"/>
      <c r="I93" s="63"/>
      <c r="J93" s="80"/>
      <c r="K93" s="57"/>
      <c r="M93" s="62"/>
      <c r="N93" s="63"/>
      <c r="O93" s="80"/>
      <c r="P93" s="57"/>
      <c r="R93" s="62"/>
      <c r="S93" s="63"/>
      <c r="T93" s="80"/>
      <c r="U93" s="57"/>
      <c r="W93" s="62"/>
      <c r="X93" s="63"/>
    </row>
    <row r="94" spans="1:24" x14ac:dyDescent="0.25">
      <c r="A94" t="s">
        <v>322</v>
      </c>
      <c r="B94" t="s">
        <v>97</v>
      </c>
      <c r="C94" s="62"/>
      <c r="D94" s="63">
        <v>18.13</v>
      </c>
      <c r="E94" s="80"/>
      <c r="F94" s="57"/>
      <c r="H94" s="62"/>
      <c r="I94" s="63"/>
      <c r="J94" s="80"/>
      <c r="K94" s="57"/>
      <c r="M94" s="62"/>
      <c r="N94" s="63"/>
      <c r="O94" s="80"/>
      <c r="P94" s="57"/>
      <c r="R94" s="62"/>
      <c r="S94" s="63"/>
      <c r="T94" s="80"/>
      <c r="U94" s="57"/>
      <c r="W94" s="62"/>
      <c r="X94" s="63"/>
    </row>
    <row r="95" spans="1:24" x14ac:dyDescent="0.25">
      <c r="A95" t="s">
        <v>316</v>
      </c>
      <c r="B95" t="s">
        <v>131</v>
      </c>
      <c r="C95" s="62"/>
      <c r="D95" s="63">
        <v>75.2</v>
      </c>
      <c r="E95" s="80"/>
      <c r="F95" s="57"/>
      <c r="H95" s="62"/>
      <c r="I95" s="63"/>
      <c r="J95" s="80"/>
      <c r="K95" s="57"/>
      <c r="M95" s="62"/>
      <c r="N95" s="63"/>
      <c r="O95" s="80"/>
      <c r="P95" s="57"/>
      <c r="R95" s="62"/>
      <c r="S95" s="63"/>
      <c r="T95" s="80"/>
      <c r="U95" s="57"/>
      <c r="W95" s="62"/>
      <c r="X95" s="63"/>
    </row>
    <row r="96" spans="1:24" x14ac:dyDescent="0.25">
      <c r="A96" t="s">
        <v>323</v>
      </c>
      <c r="B96" t="s">
        <v>48</v>
      </c>
      <c r="C96" s="62"/>
      <c r="D96" s="63">
        <v>66.2</v>
      </c>
      <c r="E96" s="80"/>
      <c r="F96" s="57"/>
      <c r="H96" s="62"/>
      <c r="I96" s="63"/>
      <c r="J96" s="80"/>
      <c r="K96" s="57"/>
      <c r="M96" s="62"/>
      <c r="N96" s="63"/>
      <c r="O96" s="80"/>
      <c r="P96" s="57"/>
      <c r="R96" s="62"/>
      <c r="S96" s="63"/>
      <c r="T96" s="80"/>
      <c r="U96" s="57"/>
      <c r="W96" s="62"/>
      <c r="X96" s="63"/>
    </row>
    <row r="97" spans="1:24" x14ac:dyDescent="0.25">
      <c r="A97" t="s">
        <v>319</v>
      </c>
      <c r="B97" t="s">
        <v>109</v>
      </c>
      <c r="C97" s="62"/>
      <c r="D97" s="63">
        <v>20.96</v>
      </c>
      <c r="E97" s="80"/>
      <c r="F97" s="57"/>
      <c r="H97" s="62"/>
      <c r="I97" s="63"/>
      <c r="J97" s="80"/>
      <c r="K97" s="57"/>
      <c r="M97" s="62"/>
      <c r="N97" s="63"/>
      <c r="O97" s="80"/>
      <c r="P97" s="57"/>
      <c r="R97" s="62"/>
      <c r="S97" s="63"/>
      <c r="T97" s="80"/>
      <c r="U97" s="57"/>
      <c r="W97" s="62"/>
      <c r="X97" s="63"/>
    </row>
    <row r="98" spans="1:24" x14ac:dyDescent="0.25">
      <c r="A98" t="s">
        <v>324</v>
      </c>
      <c r="B98" t="s">
        <v>109</v>
      </c>
      <c r="C98" s="62"/>
      <c r="D98" s="63">
        <v>12.8</v>
      </c>
      <c r="E98" s="80"/>
      <c r="F98" s="57"/>
      <c r="H98" s="62"/>
      <c r="I98" s="63"/>
      <c r="J98" s="80"/>
      <c r="K98" s="57"/>
      <c r="M98" s="62"/>
      <c r="N98" s="63"/>
      <c r="O98" s="80"/>
      <c r="P98" s="57"/>
      <c r="R98" s="62"/>
      <c r="S98" s="63"/>
      <c r="T98" s="80"/>
      <c r="U98" s="57"/>
      <c r="W98" s="62"/>
      <c r="X98" s="63"/>
    </row>
    <row r="99" spans="1:24" x14ac:dyDescent="0.25">
      <c r="A99" t="s">
        <v>315</v>
      </c>
      <c r="C99" s="62"/>
      <c r="D99" s="63"/>
      <c r="E99" s="80"/>
      <c r="F99" s="57"/>
      <c r="H99" s="62"/>
      <c r="I99" s="63"/>
      <c r="J99" s="80"/>
      <c r="K99" s="57"/>
      <c r="M99" s="62"/>
      <c r="N99" s="63"/>
      <c r="O99" s="80"/>
      <c r="P99" s="57"/>
      <c r="R99" s="62"/>
      <c r="S99" s="63"/>
      <c r="T99" s="80"/>
      <c r="U99" s="57"/>
      <c r="W99" s="62"/>
      <c r="X99" s="63"/>
    </row>
    <row r="100" spans="1:24" x14ac:dyDescent="0.25">
      <c r="E100" s="80"/>
      <c r="F100" s="57"/>
      <c r="H100" s="62"/>
      <c r="I100" s="63"/>
      <c r="J100" s="80"/>
      <c r="K100" s="57"/>
      <c r="M100" s="62"/>
      <c r="N100" s="63"/>
      <c r="O100" s="80"/>
      <c r="P100" s="57"/>
      <c r="R100" s="62"/>
      <c r="S100" s="63"/>
      <c r="T100" s="80"/>
      <c r="U100" s="57"/>
      <c r="W100" s="62"/>
      <c r="X100" s="63"/>
    </row>
    <row r="101" spans="1:24" ht="13" x14ac:dyDescent="0.3">
      <c r="A101" s="49" t="s">
        <v>3</v>
      </c>
      <c r="B101" s="50"/>
      <c r="C101" s="48">
        <f>SUM(C37:C100)</f>
        <v>6694.48</v>
      </c>
      <c r="D101" s="51">
        <f>SUM(D37:D100)</f>
        <v>2652.2700000000004</v>
      </c>
      <c r="E101" s="82"/>
      <c r="F101" s="58"/>
      <c r="G101" s="50"/>
      <c r="H101" s="48">
        <f>SUM(H37:H100)</f>
        <v>3760.97</v>
      </c>
      <c r="I101" s="51">
        <f>SUM(I37:I100)</f>
        <v>112.27000000000001</v>
      </c>
      <c r="J101" s="82"/>
      <c r="K101" s="58"/>
      <c r="L101" s="50"/>
      <c r="M101" s="48">
        <f>SUM(M37:M100)</f>
        <v>3422.0299999999997</v>
      </c>
      <c r="N101" s="51">
        <f>SUM(N37:N100)</f>
        <v>294.92</v>
      </c>
      <c r="O101" s="82"/>
      <c r="P101" s="58"/>
      <c r="Q101" s="50"/>
      <c r="R101" s="48">
        <f>SUM(R37:R100)</f>
        <v>11740.82</v>
      </c>
      <c r="S101" s="51">
        <f>SUM(S37:S100)</f>
        <v>197.21</v>
      </c>
      <c r="T101" s="82"/>
      <c r="U101" s="58"/>
      <c r="V101" s="50"/>
      <c r="W101" s="48">
        <f>SUM(W37:W100)</f>
        <v>0</v>
      </c>
      <c r="X101" s="51">
        <f>SUM(X37:X100)</f>
        <v>0</v>
      </c>
    </row>
    <row r="102" spans="1:24" x14ac:dyDescent="0.25">
      <c r="A102" s="80"/>
      <c r="C102" s="98"/>
      <c r="F102" s="80"/>
      <c r="K102" s="80"/>
      <c r="P102" s="80"/>
      <c r="U102" s="80"/>
    </row>
    <row r="103" spans="1:24" x14ac:dyDescent="0.25">
      <c r="A103" s="80"/>
      <c r="F103" s="80"/>
      <c r="K103" s="80"/>
      <c r="P103" s="80"/>
      <c r="U103" s="80"/>
    </row>
    <row r="104" spans="1:24" x14ac:dyDescent="0.25">
      <c r="A104" s="80"/>
      <c r="F104" s="80"/>
      <c r="K104" s="80"/>
      <c r="P104" s="80"/>
      <c r="U104" s="80"/>
    </row>
    <row r="105" spans="1:24" x14ac:dyDescent="0.25">
      <c r="A105" s="80"/>
      <c r="F105" s="80"/>
      <c r="K105" s="80"/>
      <c r="P105" s="80"/>
      <c r="U105" s="80"/>
    </row>
  </sheetData>
  <mergeCells count="2">
    <mergeCell ref="A11:D11"/>
    <mergeCell ref="A1:D1"/>
  </mergeCells>
  <conditionalFormatting sqref="C7:D7">
    <cfRule type="cellIs" dxfId="6" priority="1" operator="lessThan">
      <formula>0</formula>
    </cfRule>
  </conditionalFormatting>
  <dataValidations disablePrompts="1" count="1">
    <dataValidation type="list" allowBlank="1" showInputMessage="1" showErrorMessage="1" sqref="B33:B99 B101:B129 G33:G129 L33:L129 Q33:Q129 V33:V129" xr:uid="{7812D169-539C-4C4B-AB6C-BFAD8D901808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8F79-2527-4119-A3CA-954897184B71}">
  <dimension ref="A1:X111"/>
  <sheetViews>
    <sheetView tabSelected="1" topLeftCell="A32" workbookViewId="0">
      <selection activeCell="J102" sqref="J102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6" width="14.453125" customWidth="1"/>
    <col min="7" max="7" width="13.6328125" customWidth="1"/>
    <col min="8" max="8" width="12.7265625" customWidth="1"/>
    <col min="9" max="9" width="21.81640625" customWidth="1"/>
    <col min="10" max="10" width="12.54296875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3583.3333333333335</v>
      </c>
      <c r="D4" s="90">
        <v>860</v>
      </c>
    </row>
    <row r="5" spans="1:4" x14ac:dyDescent="0.25">
      <c r="A5" t="s">
        <v>282</v>
      </c>
      <c r="C5" s="7">
        <f>D5/Resumen!$D$1</f>
        <v>1875</v>
      </c>
      <c r="D5" s="90">
        <v>450</v>
      </c>
    </row>
    <row r="6" spans="1:4" ht="13" x14ac:dyDescent="0.3">
      <c r="A6" s="17" t="s">
        <v>23</v>
      </c>
      <c r="B6" s="17"/>
      <c r="C6" s="19">
        <f>SUM(C3:C5)</f>
        <v>30458.333333333332</v>
      </c>
      <c r="D6" s="91">
        <f>SUM(D3:D5)</f>
        <v>7310</v>
      </c>
    </row>
    <row r="7" spans="1:4" ht="13" x14ac:dyDescent="0.3">
      <c r="A7" s="92" t="s">
        <v>283</v>
      </c>
      <c r="B7" s="92"/>
      <c r="C7" s="93">
        <f>C6-C32</f>
        <v>13346.231666666667</v>
      </c>
      <c r="D7" s="94">
        <f>D6-D32</f>
        <v>3203.0955999999996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COUNTIF(B37:B91,A13)+COUNTIF(G37:G91,A13)+COUNTIF(L37:L91,A13)+COUNTIF(Q37:Q91,A13)+COUNTIF(V37:V91,A13)</f>
        <v>10</v>
      </c>
      <c r="C13" s="65">
        <f>SUMIF(B37:B91,A13,C37:C91)+SUMIF(G37:G91,A13,H37:H91)+SUMIF(L37:L91,A13,M37:M91)+SUMIF(Q37:Q91,A13,R37:R91)+SUMIF(V37:V91,A13,W37:W91)+(SUMIF(B37:B91,A13,D37:D91)+SUMIF(G37:G91,A13,I37:I91)+SUMIF(L37:L91,A13,N37:N91)+SUMIF(Q37:Q91,A13,S37:S91)+SUMIF(V37:V91,A13,X37:X91))/Resumen!$D$1</f>
        <v>1238.125</v>
      </c>
      <c r="D13" s="66">
        <f>C13*Resumen!$D$1</f>
        <v>297.14999999999998</v>
      </c>
    </row>
    <row r="14" spans="1:4" x14ac:dyDescent="0.25">
      <c r="A14" s="67" t="s">
        <v>129</v>
      </c>
      <c r="B14" s="68">
        <f>COUNTIF(B37:B91,A14)+COUNTIF(G37:G91,A14)+COUNTIF(L37:L91,A14)+COUNTIF(Q37:Q91,A14)+COUNTIF(V37:V91,A14)</f>
        <v>1</v>
      </c>
      <c r="C14" s="69">
        <f>SUMIF(B37:B91,A14,C37:C91)+SUMIF(G37:G91,A14,H37:H91)+SUMIF(L37:L91,A14,M37:M91)+SUMIF(Q37:Q91,A14,R37:R91)+SUMIF(V37:V91,A14,W37:W91)+(SUMIF(B37:B91,A14,D37:D91)+SUMIF(G37:G91,A14,I37:I91)+SUMIF(L37:L91,A14,N37:N91)+SUMIF(Q37:Q91,A14,S37:S91)+SUMIF(V37:V91,A14,X37:X91))/Resumen!$D$1</f>
        <v>20.37</v>
      </c>
      <c r="D14" s="70">
        <f>C14*Resumen!$D$1</f>
        <v>4.8887999999999998</v>
      </c>
    </row>
    <row r="15" spans="1:4" x14ac:dyDescent="0.25">
      <c r="A15" t="s">
        <v>130</v>
      </c>
      <c r="B15" s="64">
        <f>COUNTIF(B37:B91,A15)+COUNTIF(G37:G91,A15)+COUNTIF(L37:L91,A15)+COUNTIF(Q37:Q91,A15)+COUNTIF(V37:V91,A15)</f>
        <v>9</v>
      </c>
      <c r="C15" s="65">
        <f>SUMIF(B37:B91,A15,C37:C91)+SUMIF(G37:G91,A15,H37:H91)+SUMIF(L37:L91,A15,M37:M91)+SUMIF(Q37:Q91,A15,R37:R91)+SUMIF(V37:V91,A15,W37:W91)+(SUMIF(B37:B91,A15,D37:D91)+SUMIF(G37:G91,A15,I37:I91)+SUMIF(L37:L91,A15,N37:N91)+SUMIF(Q37:Q91,A15,S37:S91)+SUMIF(V37:V91,A15,X37:X91))/Resumen!$D$1</f>
        <v>1310.7800000000002</v>
      </c>
      <c r="D15" s="66">
        <f>C15*Resumen!$D$1</f>
        <v>314.58720000000005</v>
      </c>
    </row>
    <row r="16" spans="1:4" x14ac:dyDescent="0.25">
      <c r="A16" s="67" t="s">
        <v>131</v>
      </c>
      <c r="B16" s="68">
        <f>COUNTIF(B37:B91,A16)+COUNTIF(G37:G91,A16)+COUNTIF(L37:L91,A16)+COUNTIF(Q37:Q91,A16)+COUNTIF(V37:V91,A16)</f>
        <v>6</v>
      </c>
      <c r="C16" s="69">
        <f>SUMIF(B37:B91,A16,C37:C91)+SUMIF(G37:G91,A16,H37:H91)+SUMIF(L37:L91,A16,M37:M91)+SUMIF(Q37:Q91,A16,R37:R91)+SUMIF(V37:V91,A16,W37:W91)+(SUMIF(B37:B91,A16,D37:D91)+SUMIF(G37:G91,A16,I37:I91)+SUMIF(L37:L91,A16,N37:N91)+SUMIF(Q37:Q91,A16,S37:S91)+SUMIF(V37:V91,A16,X37:X91))/Resumen!$D$1</f>
        <v>4943.75</v>
      </c>
      <c r="D16" s="70">
        <f>C16*Resumen!$D$1</f>
        <v>1186.5</v>
      </c>
    </row>
    <row r="17" spans="1:5" x14ac:dyDescent="0.25">
      <c r="A17" t="s">
        <v>132</v>
      </c>
      <c r="B17" s="64">
        <f>COUNTIF(B37:B91,A17)+COUNTIF(G37:G91,A17)+COUNTIF(L37:L91,A17)+COUNTIF(Q37:Q91,A17)+COUNTIF(V37:V91,A17)</f>
        <v>0</v>
      </c>
      <c r="C17" s="65">
        <f>SUMIF(B37:B91,A17,C37:C91)+SUMIF(G37:G91,A17,H37:H91)+SUMIF(L37:L91,A17,M37:M91)+SUMIF(Q37:Q91,A17,R37:R91)+SUMIF(V37:V91,A17,W37:W91)+(SUMIF(B37:B91,A17,D37:D91)+SUMIF(G37:G91,A17,I37:I91)+SUMIF(L37:L91,A17,N37:N91)+SUMIF(Q37:Q91,A17,S37:S91)+SUMIF(V37:V91,A17,X37:X91))/Resumen!$D$1</f>
        <v>0</v>
      </c>
      <c r="D17" s="66">
        <f>C17*Resumen!$D$1</f>
        <v>0</v>
      </c>
    </row>
    <row r="18" spans="1:5" x14ac:dyDescent="0.25">
      <c r="A18" s="67" t="s">
        <v>133</v>
      </c>
      <c r="B18" s="68">
        <f>COUNTIF(B37:B91,A18)+COUNTIF(G37:G91,A18)+COUNTIF(L37:L91,A18)+COUNTIF(Q37:Q91,A18)+COUNTIF(V37:V91,A18)</f>
        <v>2</v>
      </c>
      <c r="C18" s="69">
        <f>SUMIF(B37:B91,A18,C37:C91)+SUMIF(G37:G91,A18,H37:H91)+SUMIF(L37:L91,A18,M37:M91)+SUMIF(Q37:Q91,A18,R37:R91)+SUMIF(V37:V91,A18,W37:W91)+(SUMIF(B37:B91,A18,D37:D91)+SUMIF(G37:G91,A18,I37:I91)+SUMIF(L37:L91,A18,N37:N91)+SUMIF(Q37:Q91,A18,S37:S91)+SUMIF(V37:V91,A18,X37:X91))/Resumen!$D$1</f>
        <v>545.37500000000011</v>
      </c>
      <c r="D18" s="70">
        <f>C18*Resumen!$D$1</f>
        <v>130.89000000000001</v>
      </c>
    </row>
    <row r="19" spans="1:5" x14ac:dyDescent="0.25">
      <c r="A19" t="s">
        <v>134</v>
      </c>
      <c r="B19" s="64">
        <f>COUNTIF(B37:B91,A19)+COUNTIF(G37:G91,A19)+COUNTIF(L37:L91,A19)+COUNTIF(Q37:Q91,A19)+COUNTIF(V37:V91,A19)</f>
        <v>14</v>
      </c>
      <c r="C19" s="65">
        <f>SUMIF(B37:B91,A19,C37:C91)+SUMIF(G37:G91,A19,H37:H91)+SUMIF(L37:L91,A19,M37:M91)+SUMIF(Q37:Q91,A19,R37:R91)+SUMIF(V37:V91,A19,W37:W91)+(SUMIF(B37:B91,A19,D37:D91)+SUMIF(G37:G91,A19,I37:I91)+SUMIF(L37:L91,A19,N37:N91)+SUMIF(Q37:Q91,A19,S37:S91)+SUMIF(V37:V91,A19,X37:X91))/Resumen!$D$1</f>
        <v>2205.7816666666668</v>
      </c>
      <c r="D19" s="66">
        <f>C19*Resumen!$D$1</f>
        <v>529.38760000000002</v>
      </c>
    </row>
    <row r="20" spans="1:5" x14ac:dyDescent="0.25">
      <c r="A20" s="67" t="s">
        <v>135</v>
      </c>
      <c r="B20" s="68">
        <f>COUNTIF(B37:B91,A20)+COUNTIF(G37:G91,A20)+COUNTIF(L37:L91,A20)+COUNTIF(Q37:Q91,A20)+COUNTIF(V37:V91,A20)</f>
        <v>0</v>
      </c>
      <c r="C20" s="69">
        <f>SUMIF(B37:B91,A20,C37:C91)+SUMIF(G37:G91,A20,H37:H91)+SUMIF(L37:L91,A20,M37:M91)+SUMIF(Q37:Q91,A20,R37:R91)+SUMIF(V37:V91,A20,W37:W91)+(SUMIF(B37:B91,A20,D37:D91)+SUMIF(G37:G91,A20,I37:I91)+SUMIF(L37:L91,A20,N37:N91)+SUMIF(Q37:Q91,A20,S37:S91)+SUMIF(V37:V91,A20,X37:X91))/Resumen!$D$1</f>
        <v>0</v>
      </c>
      <c r="D20" s="70">
        <f>C20*Resumen!$D$1</f>
        <v>0</v>
      </c>
    </row>
    <row r="21" spans="1:5" x14ac:dyDescent="0.25">
      <c r="A21" t="s">
        <v>109</v>
      </c>
      <c r="B21" s="64">
        <f>COUNTIF(B37:B91,A21)+COUNTIF(G37:G91,A21)+COUNTIF(L37:L91,A21)+COUNTIF(Q37:Q91,A21)+COUNTIF(V37:V91,A21)</f>
        <v>28</v>
      </c>
      <c r="C21" s="65">
        <f>SUMIF(B37:B91,A21,C37:C91)+SUMIF(G37:G91,A21,H37:H91)+SUMIF(L37:L91,A21,M37:M91)+SUMIF(Q37:Q91,A21,R37:R91)+SUMIF(V37:V91,A21,W37:W91)+(SUMIF(B37:B91,A21,D37:D91)+SUMIF(G37:G91,A21,I37:I91)+SUMIF(L37:L91,A21,N37:N91)+SUMIF(Q37:Q91,A21,S37:S91)+SUMIF(V37:V91,A21,X37:X91))/Resumen!$D$1</f>
        <v>1184.3166666666668</v>
      </c>
      <c r="D21" s="66">
        <f>C21*Resumen!$D$1</f>
        <v>284.23600000000005</v>
      </c>
      <c r="E21" s="110"/>
    </row>
    <row r="22" spans="1:5" x14ac:dyDescent="0.25">
      <c r="A22" s="67" t="s">
        <v>136</v>
      </c>
      <c r="B22" s="68">
        <f>COUNTIF(B37:B91,A22)+COUNTIF(G37:G91,A22)+COUNTIF(L37:L91,A22)+COUNTIF(Q37:Q91,A22)+COUNTIF(V37:V91,A22)</f>
        <v>1</v>
      </c>
      <c r="C22" s="69">
        <f>SUMIF(B37:B91,A22,C37:C91)+SUMIF(G37:G91,A22,H37:H91)+SUMIF(L37:L91,A22,M37:M91)+SUMIF(Q37:Q91,A22,R37:R91)+SUMIF(V37:V91,A22,W37:W91)+(SUMIF(B37:B91,A22,D37:D91)+SUMIF(G37:G91,A22,I37:I91)+SUMIF(L37:L91,A22,N37:N91)+SUMIF(Q37:Q91,A22,S37:S91)+SUMIF(V37:V91,A22,X37:X91))/Resumen!$D$1</f>
        <v>833.33333333333337</v>
      </c>
      <c r="D22" s="70">
        <f>C22*Resumen!$D$1</f>
        <v>200</v>
      </c>
    </row>
    <row r="23" spans="1:5" x14ac:dyDescent="0.25">
      <c r="A23" s="84" t="s">
        <v>229</v>
      </c>
      <c r="B23" s="85">
        <f>COUNTIF(B37:B91,A23)+COUNTIF(G37:G91,A23)+COUNTIF(L37:L91,A23)+COUNTIF(Q37:Q91,A23)+COUNTIF(V37:V91,A23)</f>
        <v>0</v>
      </c>
      <c r="C23" s="86">
        <f>SUMIF(B37:B91,A23,C37:C91)+SUMIF(G37:G91,A23,H37:H91)+SUMIF(L37:L91,A23,M37:M91)+SUMIF(Q37:Q91,A23,R37:R91)+SUMIF(V37:V91,A23,W37:W91)+(SUMIF(B37:B91,A23,D37:D91)+SUMIF(G37:G91,A23,I37:I91)+SUMIF(L37:L91,A23,N37:N91)+SUMIF(Q37:Q91,A23,S37:S91)+SUMIF(V37:V91,A23,X37:X91))/Resumen!$D$1</f>
        <v>0</v>
      </c>
      <c r="D23" s="70">
        <f>C23*Resumen!$D$1</f>
        <v>0</v>
      </c>
    </row>
    <row r="24" spans="1:5" x14ac:dyDescent="0.25">
      <c r="A24" s="67" t="s">
        <v>230</v>
      </c>
      <c r="B24" s="68">
        <f>COUNTIF(B37:B91,A24)+COUNTIF(G37:G91,A24)+COUNTIF(L37:L91,A24)+COUNTIF(Q37:Q91,A24)+COUNTIF(V37:V91,A24)</f>
        <v>0</v>
      </c>
      <c r="C24" s="69">
        <f>SUMIF(B37:B91,A24,C37:C91)+SUMIF(G37:G91,A24,H37:H91)+SUMIF(L37:L91,A24,M37:M91)+SUMIF(Q37:Q91,A24,R37:R91)+SUMIF(V37:V91,A24,W37:W91)+(SUMIF(B37:B91,A24,D37:D91)+SUMIF(G37:G91,A24,I37:I91)+SUMIF(L37:L91,A24,N37:N91)+SUMIF(Q37:Q91,A24,S37:S91)+SUMIF(V37:V91,A24,X37:X91))/Resumen!$D$1</f>
        <v>0</v>
      </c>
      <c r="D24" s="70">
        <f>C24*Resumen!$D$1</f>
        <v>0</v>
      </c>
    </row>
    <row r="25" spans="1:5" x14ac:dyDescent="0.25">
      <c r="A25" s="84" t="s">
        <v>231</v>
      </c>
      <c r="B25" s="85">
        <f>COUNTIF(B37:B91,A25)+COUNTIF(G37:G91,A25)+COUNTIF(L37:L91,A25)+COUNTIF(Q37:Q91,A25)+COUNTIF(V37:V91,A25)</f>
        <v>1</v>
      </c>
      <c r="C25" s="86">
        <f>SUMIF(B37:B91,A25,C37:C91)+SUMIF(G37:G91,A25,H37:H91)+SUMIF(L37:L91,A25,M37:M91)+SUMIF(Q37:Q91,A25,R37:R91)+SUMIF(V37:V91,A25,W37:W91)+(SUMIF(B37:B91,A25,D37:D91)+SUMIF(G37:G91,A25,I37:I91)+SUMIF(L37:L91,A25,N37:N91)+SUMIF(Q37:Q91,A25,S37:S91)+SUMIF(V37:V91,A25,X37:X91))/Resumen!$D$1</f>
        <v>6.3</v>
      </c>
      <c r="D25" s="70">
        <f>C25*Resumen!$D$1</f>
        <v>1.512</v>
      </c>
    </row>
    <row r="26" spans="1:5" x14ac:dyDescent="0.25">
      <c r="A26" s="67" t="s">
        <v>232</v>
      </c>
      <c r="B26" s="68">
        <f>COUNTIF(B37:B91,A26)+COUNTIF(G37:G91,A26)+COUNTIF(L37:L91,A26)+COUNTIF(Q37:Q91,A26)+COUNTIF(V37:V91,A26)</f>
        <v>2</v>
      </c>
      <c r="C26" s="69">
        <f>SUMIF(B37:B91,A26,C37:C91)+SUMIF(G37:G91,A26,H37:H91)+SUMIF(L37:L91,A26,M37:M91)+SUMIF(Q37:Q91,A26,R37:R91)+SUMIF(V37:V91,A26,W37:W91)+(SUMIF(B37:B91,A26,D37:D91)+SUMIF(G37:G91,A26,I37:I91)+SUMIF(L37:L91,A26,N37:N91)+SUMIF(Q37:Q91,A26,S37:S91)+SUMIF(V37:V91,A26,X37:X91))/Resumen!$D$1</f>
        <v>279</v>
      </c>
      <c r="D26" s="70">
        <f>C26*Resumen!$D$1</f>
        <v>66.959999999999994</v>
      </c>
    </row>
    <row r="27" spans="1:5" x14ac:dyDescent="0.25">
      <c r="A27" t="s">
        <v>137</v>
      </c>
      <c r="B27" s="64">
        <f>COUNTIF(B37:B91,A27)+COUNTIF(G37:G91,A27)+COUNTIF(L37:L91,A27)+COUNTIF(Q37:Q91,A27)+COUNTIF(V37:V91,A27)</f>
        <v>1</v>
      </c>
      <c r="C27" s="65">
        <f>SUMIF(B37:B91,A27,C37:C91)+SUMIF(G37:G91,A27,H37:H91)+SUMIF(L37:L91,A27,M37:M91)+SUMIF(Q37:Q91,A27,R37:R91)+SUMIF(V37:V91,A27,W37:W91)+(SUMIF(B37:B91,A27,D37:D91)+SUMIF(G37:G91,A27,I37:I91)+SUMIF(L37:L91,A27,N37:N91)+SUMIF(Q37:Q91,A27,S37:S91)+SUMIF(V37:V91,A27,X37:X91))/Resumen!$D$1</f>
        <v>70</v>
      </c>
      <c r="D27" s="66">
        <f>C27*Resumen!$D$1</f>
        <v>16.8</v>
      </c>
    </row>
    <row r="28" spans="1:5" x14ac:dyDescent="0.25">
      <c r="A28" s="67" t="s">
        <v>144</v>
      </c>
      <c r="B28" s="68">
        <f>COUNTIF(B37:B91,A28)+COUNTIF(G37:G91,A28)+COUNTIF(L37:L91,A28)+COUNTIF(Q37:Q91,A28)+COUNTIF(V37:V91,A28)</f>
        <v>3</v>
      </c>
      <c r="C28" s="69">
        <f>SUMIF(B37:B91,A28,C37:C91)+SUMIF(G37:G91,A28,H37:H91)+SUMIF(L37:L91,A28,M37:M91)+SUMIF(Q37:Q91,A28,R37:R91)+SUMIF(V37:V91,A28,W37:W91)+(SUMIF(B37:B91,A28,D37:D91)+SUMIF(G37:G91,A28,I37:I91)+SUMIF(L37:L91,A28,N37:N91)+SUMIF(Q37:Q91,A28,S37:S91)+SUMIF(V37:V91,A28,X37:X91))/Resumen!$D$1</f>
        <v>1310.5</v>
      </c>
      <c r="D28" s="70">
        <f>C28*Resumen!$D$1</f>
        <v>314.52</v>
      </c>
    </row>
    <row r="29" spans="1:5" x14ac:dyDescent="0.25">
      <c r="A29" t="s">
        <v>145</v>
      </c>
      <c r="B29" s="64">
        <f>COUNTIF(B37:B91,A29)+COUNTIF(G37:G91,A29)+COUNTIF(L37:L91,A29)+COUNTIF(Q37:Q91,A29)+COUNTIF(V37:V91,A29)</f>
        <v>13</v>
      </c>
      <c r="C29" s="65">
        <f>SUMIF(B37:B91,A29,C37:C91)+SUMIF(G37:G91,A29,H37:H91)+SUMIF(L37:L91,A29,M37:M91)+SUMIF(Q37:Q91,A29,R37:R91)+SUMIF(V37:V91,A29,W37:W91)+(SUMIF(B37:B91,A29,D37:D91)+SUMIF(G37:G91,A29,I37:I91)+SUMIF(L37:L91,A29,N37:N91)+SUMIF(Q37:Q91,A29,S37:S91)+SUMIF(V37:V91,A29,X37:X91))/Resumen!$D$1</f>
        <v>1180.7950000000001</v>
      </c>
      <c r="D29" s="66">
        <f>C29*Resumen!$D$1</f>
        <v>283.39080000000001</v>
      </c>
    </row>
    <row r="30" spans="1:5" x14ac:dyDescent="0.25">
      <c r="A30" s="67" t="s">
        <v>97</v>
      </c>
      <c r="B30" s="68">
        <f>COUNTIF(B37:B91,A30)+COUNTIF(G37:G91,A30)+COUNTIF(L37:L91,A30)+COUNTIF(Q37:Q91,A30)+COUNTIF(V37:V91,A30)</f>
        <v>17</v>
      </c>
      <c r="C30" s="69">
        <f>SUMIF(B37:B91,A30,C37:C91)+SUMIF(G37:G91,A30,H37:H91)+SUMIF(L37:L91,A30,M37:M91)+SUMIF(Q37:Q91,A30,R37:R91)+SUMIF(V37:V91,A30,W37:W91)+(SUMIF(B37:B91,A30,D37:D91)+SUMIF(G37:G91,A30,I37:I91)+SUMIF(L37:L91,A30,N37:N91)+SUMIF(Q37:Q91,A30,S37:S91)+SUMIF(V37:V91,A30,X37:X91))/Resumen!$D$1</f>
        <v>1950.5549999999998</v>
      </c>
      <c r="D30" s="70">
        <f>C30*Resumen!$D$1</f>
        <v>468.13319999999993</v>
      </c>
    </row>
    <row r="31" spans="1:5" x14ac:dyDescent="0.25">
      <c r="A31" t="s">
        <v>103</v>
      </c>
      <c r="B31" s="64">
        <f>COUNTIF(B37:B91,A31)+COUNTIF(G37:G91,A31)+COUNTIF(L37:L91,A31)+COUNTIF(Q37:Q91,A31)+COUNTIF(V37:V91,A31)</f>
        <v>2</v>
      </c>
      <c r="C31" s="65">
        <f>SUMIF(B37:B91,A31,C37:C91)+SUMIF(G37:G91,A31,H37:H91)+SUMIF(L37:L91,A31,M37:M91)+SUMIF(Q37:Q91,A31,R37:R91)+SUMIF(V37:V91,A31,W37:W91)+(SUMIF(B37:B91,A31,D37:D91)+SUMIF(G37:G91,A31,I37:I91)+SUMIF(L37:L91,A31,N37:N91)+SUMIF(Q37:Q91,A31,S37:S91)+SUMIF(V37:V91,A31,X37:X91))/Resumen!$D$1</f>
        <v>33.119999999999997</v>
      </c>
      <c r="D31" s="66">
        <f>C31*Resumen!$D$1</f>
        <v>7.9487999999999994</v>
      </c>
    </row>
    <row r="32" spans="1:5" ht="13" x14ac:dyDescent="0.3">
      <c r="A32" s="60" t="s">
        <v>143</v>
      </c>
      <c r="B32" s="71">
        <f>SUM(B13:B31)</f>
        <v>110</v>
      </c>
      <c r="C32" s="61">
        <f>SUM(C13:C31)</f>
        <v>17112.101666666666</v>
      </c>
      <c r="D32" s="72">
        <f>SUM(D13:D31)</f>
        <v>4106.9044000000004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A37" t="s">
        <v>318</v>
      </c>
      <c r="B37" t="s">
        <v>131</v>
      </c>
      <c r="C37" s="62"/>
      <c r="D37" s="63">
        <v>151.25</v>
      </c>
      <c r="E37" s="80"/>
      <c r="F37" s="57" t="s">
        <v>356</v>
      </c>
      <c r="G37" t="s">
        <v>137</v>
      </c>
      <c r="H37" s="62">
        <v>70</v>
      </c>
      <c r="I37" s="63"/>
      <c r="J37" s="80">
        <v>46209</v>
      </c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A38" t="s">
        <v>284</v>
      </c>
      <c r="B38" t="s">
        <v>131</v>
      </c>
      <c r="C38" s="62"/>
      <c r="D38" s="63">
        <v>67.790000000000006</v>
      </c>
      <c r="E38" s="80"/>
      <c r="F38" s="57" t="s">
        <v>357</v>
      </c>
      <c r="G38" t="s">
        <v>145</v>
      </c>
      <c r="H38" s="62">
        <v>29.08</v>
      </c>
      <c r="I38" s="63"/>
      <c r="J38" s="80">
        <v>46209</v>
      </c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A39" t="s">
        <v>284</v>
      </c>
      <c r="B39" t="s">
        <v>131</v>
      </c>
      <c r="C39" s="62"/>
      <c r="D39" s="63">
        <v>54.67</v>
      </c>
      <c r="E39" s="80"/>
      <c r="F39" s="57" t="s">
        <v>354</v>
      </c>
      <c r="G39" t="s">
        <v>97</v>
      </c>
      <c r="H39" s="62">
        <v>151</v>
      </c>
      <c r="I39" s="63"/>
      <c r="J39" s="80">
        <v>46209</v>
      </c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A40" t="s">
        <v>286</v>
      </c>
      <c r="B40" t="s">
        <v>133</v>
      </c>
      <c r="C40" s="62"/>
      <c r="D40" s="63">
        <v>21.99</v>
      </c>
      <c r="E40" s="80"/>
      <c r="F40" s="57" t="s">
        <v>358</v>
      </c>
      <c r="G40" t="s">
        <v>231</v>
      </c>
      <c r="H40" s="62">
        <v>6.3</v>
      </c>
      <c r="I40" s="63"/>
      <c r="J40" s="80">
        <v>46209</v>
      </c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A41" t="s">
        <v>311</v>
      </c>
      <c r="B41" t="s">
        <v>133</v>
      </c>
      <c r="C41" s="62"/>
      <c r="D41" s="63">
        <v>108.9</v>
      </c>
      <c r="E41" s="80"/>
      <c r="F41" s="57" t="s">
        <v>359</v>
      </c>
      <c r="G41" t="s">
        <v>103</v>
      </c>
      <c r="H41" s="62">
        <v>4.12</v>
      </c>
      <c r="I41" s="63"/>
      <c r="J41" s="80">
        <v>46210</v>
      </c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A42" t="s">
        <v>269</v>
      </c>
      <c r="B42" t="s">
        <v>134</v>
      </c>
      <c r="C42" s="62">
        <v>22.99</v>
      </c>
      <c r="D42" s="63"/>
      <c r="E42" s="80"/>
      <c r="F42" s="57" t="s">
        <v>347</v>
      </c>
      <c r="G42" t="s">
        <v>145</v>
      </c>
      <c r="H42" s="62">
        <v>97.65</v>
      </c>
      <c r="I42" s="63"/>
      <c r="J42" s="80">
        <v>46210</v>
      </c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A43" t="s">
        <v>327</v>
      </c>
      <c r="B43" t="s">
        <v>131</v>
      </c>
      <c r="C43" s="62">
        <v>2249</v>
      </c>
      <c r="D43" s="63"/>
      <c r="E43" s="80"/>
      <c r="F43" s="57" t="s">
        <v>360</v>
      </c>
      <c r="G43" t="s">
        <v>130</v>
      </c>
      <c r="H43" s="62">
        <v>72.89</v>
      </c>
      <c r="I43" s="63"/>
      <c r="J43" s="80">
        <v>46211</v>
      </c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A44" t="s">
        <v>328</v>
      </c>
      <c r="B44" t="s">
        <v>109</v>
      </c>
      <c r="C44" s="62">
        <v>167.75</v>
      </c>
      <c r="D44" s="63"/>
      <c r="E44" s="80">
        <v>46200</v>
      </c>
      <c r="F44" s="57" t="s">
        <v>360</v>
      </c>
      <c r="G44" t="s">
        <v>130</v>
      </c>
      <c r="H44" s="62">
        <v>37.979999999999997</v>
      </c>
      <c r="I44" s="63"/>
      <c r="J44" s="80">
        <v>46211</v>
      </c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A45" t="s">
        <v>329</v>
      </c>
      <c r="B45" t="s">
        <v>97</v>
      </c>
      <c r="C45" s="62">
        <v>89.94</v>
      </c>
      <c r="D45" s="63"/>
      <c r="E45" s="80">
        <v>46200</v>
      </c>
      <c r="F45" s="57" t="s">
        <v>347</v>
      </c>
      <c r="G45" t="s">
        <v>145</v>
      </c>
      <c r="H45" s="62">
        <v>75.599999999999994</v>
      </c>
      <c r="I45" s="63"/>
      <c r="J45" s="80">
        <v>46212</v>
      </c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A46" t="s">
        <v>330</v>
      </c>
      <c r="B46" t="s">
        <v>145</v>
      </c>
      <c r="C46" s="62">
        <v>112.26</v>
      </c>
      <c r="D46" s="63"/>
      <c r="E46" s="80">
        <v>46200</v>
      </c>
      <c r="F46" s="57" t="s">
        <v>361</v>
      </c>
      <c r="G46" t="s">
        <v>103</v>
      </c>
      <c r="H46" s="62">
        <v>29</v>
      </c>
      <c r="I46" s="63"/>
      <c r="J46" s="80">
        <v>46213</v>
      </c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A47" t="s">
        <v>331</v>
      </c>
      <c r="B47" t="s">
        <v>48</v>
      </c>
      <c r="C47" s="62">
        <v>223</v>
      </c>
      <c r="D47" s="63"/>
      <c r="E47" s="80">
        <v>46200</v>
      </c>
      <c r="F47" s="57" t="s">
        <v>347</v>
      </c>
      <c r="G47" t="s">
        <v>145</v>
      </c>
      <c r="H47" s="62">
        <v>75.05</v>
      </c>
      <c r="I47" s="63"/>
      <c r="J47" s="80">
        <v>46214</v>
      </c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A48" t="s">
        <v>332</v>
      </c>
      <c r="B48" t="s">
        <v>144</v>
      </c>
      <c r="C48" s="62">
        <v>532</v>
      </c>
      <c r="D48" s="63"/>
      <c r="E48" s="80">
        <v>46200</v>
      </c>
      <c r="F48" s="57" t="s">
        <v>355</v>
      </c>
      <c r="G48" t="s">
        <v>145</v>
      </c>
      <c r="H48" s="62">
        <v>88.3</v>
      </c>
      <c r="I48" s="63"/>
      <c r="J48" s="80">
        <v>46214</v>
      </c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A49" t="s">
        <v>333</v>
      </c>
      <c r="B49" t="s">
        <v>130</v>
      </c>
      <c r="C49" s="62">
        <v>51.1</v>
      </c>
      <c r="D49" s="63"/>
      <c r="E49" s="80">
        <v>46200</v>
      </c>
      <c r="F49" s="57" t="s">
        <v>355</v>
      </c>
      <c r="G49" t="s">
        <v>145</v>
      </c>
      <c r="H49" s="62">
        <v>70.8</v>
      </c>
      <c r="I49" s="63"/>
      <c r="J49" s="80">
        <v>46215</v>
      </c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A50" t="s">
        <v>334</v>
      </c>
      <c r="B50" t="s">
        <v>232</v>
      </c>
      <c r="C50" s="62">
        <v>229</v>
      </c>
      <c r="D50" s="63"/>
      <c r="E50" s="80">
        <v>46200</v>
      </c>
      <c r="F50" s="57" t="s">
        <v>347</v>
      </c>
      <c r="G50" t="s">
        <v>145</v>
      </c>
      <c r="H50" s="62">
        <v>72.45</v>
      </c>
      <c r="I50" s="63"/>
      <c r="J50" s="80">
        <v>46215</v>
      </c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A51" t="s">
        <v>329</v>
      </c>
      <c r="B51" t="s">
        <v>97</v>
      </c>
      <c r="C51" s="62">
        <v>130.30000000000001</v>
      </c>
      <c r="D51" s="63"/>
      <c r="E51" s="80">
        <v>46200</v>
      </c>
      <c r="F51" s="57" t="s">
        <v>329</v>
      </c>
      <c r="G51" t="s">
        <v>97</v>
      </c>
      <c r="H51" s="62">
        <v>37.15</v>
      </c>
      <c r="I51" s="63"/>
      <c r="J51" s="80">
        <v>46215</v>
      </c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A52" t="s">
        <v>329</v>
      </c>
      <c r="B52" t="s">
        <v>97</v>
      </c>
      <c r="C52" s="62">
        <v>14.15</v>
      </c>
      <c r="D52" s="63"/>
      <c r="E52" s="80">
        <v>46200</v>
      </c>
      <c r="F52" s="57" t="s">
        <v>329</v>
      </c>
      <c r="G52" t="s">
        <v>97</v>
      </c>
      <c r="H52" s="62">
        <v>69.05</v>
      </c>
      <c r="I52" s="63"/>
      <c r="J52" s="80">
        <v>46216</v>
      </c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A53" t="s">
        <v>334</v>
      </c>
      <c r="B53" t="s">
        <v>232</v>
      </c>
      <c r="C53" s="62">
        <v>50</v>
      </c>
      <c r="D53" s="63"/>
      <c r="E53" s="80">
        <v>46200</v>
      </c>
      <c r="F53" s="57" t="s">
        <v>333</v>
      </c>
      <c r="G53" t="s">
        <v>130</v>
      </c>
      <c r="H53" s="62">
        <v>348.61</v>
      </c>
      <c r="I53" s="63"/>
      <c r="J53" s="80">
        <v>46216</v>
      </c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A54" t="s">
        <v>209</v>
      </c>
      <c r="B54" t="s">
        <v>97</v>
      </c>
      <c r="C54" s="62">
        <v>23.75</v>
      </c>
      <c r="D54" s="63"/>
      <c r="E54" s="80">
        <v>46200</v>
      </c>
      <c r="F54" s="57" t="s">
        <v>329</v>
      </c>
      <c r="G54" t="s">
        <v>97</v>
      </c>
      <c r="H54" s="62">
        <v>63.97</v>
      </c>
      <c r="I54" s="63"/>
      <c r="J54" s="80">
        <v>46216</v>
      </c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A55" t="s">
        <v>335</v>
      </c>
      <c r="B55" t="s">
        <v>144</v>
      </c>
      <c r="C55" s="62">
        <v>660.6</v>
      </c>
      <c r="D55" s="63"/>
      <c r="E55" s="80">
        <v>46201</v>
      </c>
      <c r="F55" s="57" t="s">
        <v>333</v>
      </c>
      <c r="G55" t="s">
        <v>130</v>
      </c>
      <c r="H55" s="62">
        <v>113.85</v>
      </c>
      <c r="I55" s="63"/>
      <c r="J55" s="80">
        <v>46216</v>
      </c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A56" t="s">
        <v>336</v>
      </c>
      <c r="B56" t="s">
        <v>48</v>
      </c>
      <c r="C56" s="62">
        <v>172</v>
      </c>
      <c r="D56" s="63"/>
      <c r="E56" s="80">
        <v>46201</v>
      </c>
      <c r="F56" s="57" t="s">
        <v>329</v>
      </c>
      <c r="G56" t="s">
        <v>97</v>
      </c>
      <c r="H56" s="62">
        <v>23.45</v>
      </c>
      <c r="I56" s="63"/>
      <c r="J56" s="80">
        <v>46216</v>
      </c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x14ac:dyDescent="0.25">
      <c r="A57" t="s">
        <v>337</v>
      </c>
      <c r="B57" t="s">
        <v>48</v>
      </c>
      <c r="C57" s="62">
        <v>77</v>
      </c>
      <c r="D57" s="63"/>
      <c r="E57" s="80">
        <v>46201</v>
      </c>
      <c r="F57" s="57" t="s">
        <v>336</v>
      </c>
      <c r="G57" t="s">
        <v>48</v>
      </c>
      <c r="H57" s="62">
        <v>119</v>
      </c>
      <c r="I57" s="63"/>
      <c r="J57" s="80">
        <v>46216</v>
      </c>
      <c r="K57" s="57"/>
      <c r="M57" s="62"/>
      <c r="N57" s="63"/>
      <c r="O57" s="80"/>
      <c r="P57" s="57"/>
      <c r="R57" s="62"/>
      <c r="S57" s="63"/>
      <c r="T57" s="80"/>
      <c r="U57" s="57"/>
      <c r="W57" s="62"/>
      <c r="X57" s="63"/>
    </row>
    <row r="58" spans="1:24" x14ac:dyDescent="0.25">
      <c r="A58" t="s">
        <v>338</v>
      </c>
      <c r="B58" t="s">
        <v>130</v>
      </c>
      <c r="C58" s="62">
        <v>477</v>
      </c>
      <c r="D58" s="63"/>
      <c r="E58" s="80">
        <v>46201</v>
      </c>
      <c r="F58" s="57" t="s">
        <v>362</v>
      </c>
      <c r="G58" t="s">
        <v>109</v>
      </c>
      <c r="H58" s="62">
        <v>69.5</v>
      </c>
      <c r="I58" s="63"/>
      <c r="J58" s="80">
        <v>46216</v>
      </c>
      <c r="K58" s="57"/>
      <c r="M58" s="62"/>
      <c r="N58" s="63"/>
      <c r="O58" s="80"/>
      <c r="P58" s="57"/>
      <c r="R58" s="62"/>
      <c r="S58" s="63"/>
      <c r="T58" s="80"/>
      <c r="U58" s="57"/>
      <c r="W58" s="62"/>
      <c r="X58" s="63"/>
    </row>
    <row r="59" spans="1:24" x14ac:dyDescent="0.25">
      <c r="A59" t="s">
        <v>339</v>
      </c>
      <c r="B59" t="s">
        <v>109</v>
      </c>
      <c r="C59" s="62">
        <v>9.5</v>
      </c>
      <c r="D59" s="63"/>
      <c r="E59" s="80">
        <v>46202</v>
      </c>
      <c r="F59" s="57" t="s">
        <v>272</v>
      </c>
      <c r="G59" t="s">
        <v>109</v>
      </c>
      <c r="H59" s="62"/>
      <c r="I59" s="63">
        <v>15.8</v>
      </c>
      <c r="J59" s="80" t="s">
        <v>363</v>
      </c>
      <c r="K59" s="57"/>
      <c r="M59" s="62"/>
      <c r="N59" s="63"/>
      <c r="O59" s="80"/>
      <c r="P59" s="57"/>
      <c r="R59" s="62"/>
      <c r="S59" s="63"/>
      <c r="T59" s="80"/>
      <c r="U59" s="57"/>
      <c r="W59" s="62"/>
      <c r="X59" s="63"/>
    </row>
    <row r="60" spans="1:24" x14ac:dyDescent="0.25">
      <c r="A60" t="s">
        <v>340</v>
      </c>
      <c r="B60" t="s">
        <v>109</v>
      </c>
      <c r="C60" s="62">
        <v>19.100000000000001</v>
      </c>
      <c r="D60" s="63"/>
      <c r="E60" s="80">
        <v>46202</v>
      </c>
      <c r="F60" s="57" t="s">
        <v>364</v>
      </c>
      <c r="G60" t="s">
        <v>97</v>
      </c>
      <c r="H60" s="62"/>
      <c r="I60" s="63">
        <v>8.4</v>
      </c>
      <c r="J60" s="80"/>
      <c r="K60" s="57"/>
      <c r="M60" s="62"/>
      <c r="N60" s="63"/>
      <c r="O60" s="80"/>
      <c r="P60" s="57"/>
      <c r="R60" s="62"/>
      <c r="S60" s="63"/>
      <c r="T60" s="80"/>
      <c r="U60" s="57"/>
      <c r="W60" s="62"/>
      <c r="X60" s="63"/>
    </row>
    <row r="61" spans="1:24" x14ac:dyDescent="0.25">
      <c r="A61" t="s">
        <v>333</v>
      </c>
      <c r="B61" t="s">
        <v>130</v>
      </c>
      <c r="C61" s="62">
        <v>84</v>
      </c>
      <c r="D61" s="63"/>
      <c r="E61" s="80">
        <v>46202</v>
      </c>
      <c r="F61" s="57" t="s">
        <v>274</v>
      </c>
      <c r="G61" t="s">
        <v>109</v>
      </c>
      <c r="H61" s="62"/>
      <c r="I61" s="63">
        <v>2.7</v>
      </c>
      <c r="J61" s="80"/>
      <c r="K61" s="57"/>
      <c r="M61" s="62"/>
      <c r="N61" s="63"/>
      <c r="O61" s="80"/>
      <c r="P61" s="57"/>
      <c r="R61" s="62"/>
      <c r="S61" s="63"/>
      <c r="T61" s="80"/>
      <c r="U61" s="57"/>
      <c r="W61" s="62"/>
      <c r="X61" s="63"/>
    </row>
    <row r="62" spans="1:24" x14ac:dyDescent="0.25">
      <c r="A62" t="s">
        <v>341</v>
      </c>
      <c r="B62" t="s">
        <v>109</v>
      </c>
      <c r="C62" s="62">
        <v>9.5</v>
      </c>
      <c r="D62" s="63"/>
      <c r="E62" s="80">
        <v>46203</v>
      </c>
      <c r="F62" s="57" t="s">
        <v>365</v>
      </c>
      <c r="G62" t="s">
        <v>134</v>
      </c>
      <c r="H62" s="62"/>
      <c r="I62" s="63">
        <v>7.98</v>
      </c>
      <c r="J62" s="80"/>
      <c r="K62" s="57"/>
      <c r="M62" s="62"/>
      <c r="N62" s="63"/>
      <c r="O62" s="80"/>
      <c r="P62" s="57"/>
      <c r="R62" s="62"/>
      <c r="S62" s="63"/>
      <c r="T62" s="80"/>
      <c r="U62" s="57"/>
      <c r="W62" s="62"/>
      <c r="X62" s="63"/>
    </row>
    <row r="63" spans="1:24" x14ac:dyDescent="0.25">
      <c r="A63" t="s">
        <v>333</v>
      </c>
      <c r="B63" t="s">
        <v>130</v>
      </c>
      <c r="C63" s="62">
        <v>26.85</v>
      </c>
      <c r="D63" s="63"/>
      <c r="E63" s="80">
        <v>46203</v>
      </c>
      <c r="F63" s="57" t="s">
        <v>366</v>
      </c>
      <c r="G63" t="s">
        <v>134</v>
      </c>
      <c r="H63" s="62"/>
      <c r="I63" s="63">
        <v>13.79</v>
      </c>
      <c r="J63" s="80"/>
      <c r="K63" s="57"/>
      <c r="M63" s="62"/>
      <c r="N63" s="63"/>
      <c r="O63" s="80"/>
      <c r="P63" s="57"/>
      <c r="R63" s="62"/>
      <c r="S63" s="63"/>
      <c r="T63" s="80"/>
      <c r="U63" s="57"/>
      <c r="W63" s="62"/>
      <c r="X63" s="63"/>
    </row>
    <row r="64" spans="1:24" x14ac:dyDescent="0.25">
      <c r="A64" t="s">
        <v>342</v>
      </c>
      <c r="B64" t="s">
        <v>48</v>
      </c>
      <c r="C64" s="62">
        <v>373</v>
      </c>
      <c r="D64" s="63"/>
      <c r="E64" s="80">
        <v>46203</v>
      </c>
      <c r="F64" s="57" t="s">
        <v>367</v>
      </c>
      <c r="G64" t="s">
        <v>134</v>
      </c>
      <c r="H64" s="62"/>
      <c r="I64" s="63">
        <v>19.98</v>
      </c>
      <c r="J64" s="80"/>
      <c r="K64" s="57"/>
      <c r="M64" s="62"/>
      <c r="N64" s="63"/>
      <c r="O64" s="80"/>
      <c r="P64" s="57"/>
      <c r="R64" s="62"/>
      <c r="S64" s="63"/>
      <c r="T64" s="80"/>
      <c r="U64" s="57"/>
      <c r="W64" s="62"/>
      <c r="X64" s="63"/>
    </row>
    <row r="65" spans="1:24" x14ac:dyDescent="0.25">
      <c r="A65" t="s">
        <v>343</v>
      </c>
      <c r="B65" t="s">
        <v>129</v>
      </c>
      <c r="C65" s="62">
        <v>20.37</v>
      </c>
      <c r="D65" s="63"/>
      <c r="E65" s="80">
        <v>46203</v>
      </c>
      <c r="F65" s="57" t="s">
        <v>309</v>
      </c>
      <c r="G65" t="s">
        <v>134</v>
      </c>
      <c r="H65" s="62"/>
      <c r="I65" s="63">
        <v>21.85</v>
      </c>
      <c r="J65" s="80"/>
      <c r="K65" s="57"/>
      <c r="M65" s="62"/>
      <c r="N65" s="63"/>
      <c r="O65" s="80"/>
      <c r="P65" s="57"/>
      <c r="R65" s="62"/>
      <c r="S65" s="63"/>
      <c r="T65" s="80"/>
      <c r="U65" s="57"/>
      <c r="W65" s="62"/>
      <c r="X65" s="63"/>
    </row>
    <row r="66" spans="1:24" x14ac:dyDescent="0.25">
      <c r="A66" t="s">
        <v>344</v>
      </c>
      <c r="B66" t="s">
        <v>109</v>
      </c>
      <c r="C66" s="62">
        <v>15.5</v>
      </c>
      <c r="D66" s="63"/>
      <c r="E66" s="80">
        <v>46203</v>
      </c>
      <c r="F66" s="57" t="s">
        <v>241</v>
      </c>
      <c r="G66" t="s">
        <v>145</v>
      </c>
      <c r="H66" s="62"/>
      <c r="I66" s="63">
        <v>37.35</v>
      </c>
      <c r="J66" s="80" t="s">
        <v>368</v>
      </c>
      <c r="K66" s="57"/>
      <c r="M66" s="62"/>
      <c r="N66" s="63"/>
      <c r="O66" s="80"/>
      <c r="P66" s="57"/>
      <c r="R66" s="62"/>
      <c r="S66" s="63"/>
      <c r="T66" s="80"/>
      <c r="U66" s="57"/>
      <c r="W66" s="62"/>
      <c r="X66" s="63"/>
    </row>
    <row r="67" spans="1:24" x14ac:dyDescent="0.25">
      <c r="A67" t="s">
        <v>329</v>
      </c>
      <c r="B67" t="s">
        <v>97</v>
      </c>
      <c r="C67" s="62">
        <v>33.36</v>
      </c>
      <c r="D67" s="63"/>
      <c r="E67" s="80">
        <v>46204</v>
      </c>
      <c r="F67" s="57" t="s">
        <v>295</v>
      </c>
      <c r="G67" t="s">
        <v>97</v>
      </c>
      <c r="H67" s="62"/>
      <c r="I67" s="63">
        <v>174.24</v>
      </c>
      <c r="J67" s="80"/>
      <c r="K67" s="57"/>
      <c r="M67" s="62"/>
      <c r="N67" s="63"/>
      <c r="O67" s="80"/>
      <c r="P67" s="57"/>
      <c r="R67" s="62"/>
      <c r="S67" s="63"/>
      <c r="T67" s="80"/>
      <c r="U67" s="57"/>
      <c r="W67" s="62"/>
      <c r="X67" s="63"/>
    </row>
    <row r="68" spans="1:24" x14ac:dyDescent="0.25">
      <c r="A68" t="s">
        <v>345</v>
      </c>
      <c r="B68" t="s">
        <v>109</v>
      </c>
      <c r="C68" s="62">
        <v>14.3</v>
      </c>
      <c r="D68" s="63"/>
      <c r="E68" s="80">
        <v>46204</v>
      </c>
      <c r="F68" s="57" t="s">
        <v>369</v>
      </c>
      <c r="G68" t="s">
        <v>131</v>
      </c>
      <c r="H68" s="62"/>
      <c r="I68" s="63">
        <v>311.02999999999997</v>
      </c>
      <c r="J68" s="80"/>
      <c r="K68" s="57"/>
      <c r="M68" s="62"/>
      <c r="N68" s="63"/>
      <c r="O68" s="80"/>
      <c r="P68" s="57"/>
      <c r="R68" s="62"/>
      <c r="S68" s="63"/>
      <c r="T68" s="80"/>
      <c r="U68" s="57"/>
      <c r="W68" s="62"/>
      <c r="X68" s="63"/>
    </row>
    <row r="69" spans="1:24" x14ac:dyDescent="0.25">
      <c r="A69" t="s">
        <v>339</v>
      </c>
      <c r="B69" t="s">
        <v>109</v>
      </c>
      <c r="C69" s="62">
        <v>22.7</v>
      </c>
      <c r="D69" s="63"/>
      <c r="E69" s="80">
        <v>46205</v>
      </c>
      <c r="F69" s="57" t="s">
        <v>372</v>
      </c>
      <c r="G69" t="s">
        <v>134</v>
      </c>
      <c r="H69" s="62"/>
      <c r="I69" s="63">
        <v>10</v>
      </c>
      <c r="J69" s="80"/>
      <c r="K69" s="57"/>
      <c r="M69" s="62"/>
      <c r="N69" s="63"/>
      <c r="O69" s="80"/>
      <c r="P69" s="57"/>
      <c r="R69" s="62"/>
      <c r="S69" s="63"/>
      <c r="T69" s="80"/>
      <c r="U69" s="57"/>
      <c r="W69" s="62"/>
      <c r="X69" s="63"/>
    </row>
    <row r="70" spans="1:24" x14ac:dyDescent="0.25">
      <c r="A70" t="s">
        <v>346</v>
      </c>
      <c r="B70" t="s">
        <v>109</v>
      </c>
      <c r="C70" s="62">
        <v>6</v>
      </c>
      <c r="D70" s="63"/>
      <c r="E70" s="80">
        <v>46205</v>
      </c>
      <c r="F70" s="57" t="s">
        <v>370</v>
      </c>
      <c r="G70" t="s">
        <v>131</v>
      </c>
      <c r="H70" s="62"/>
      <c r="I70" s="63">
        <v>62</v>
      </c>
      <c r="J70" s="80"/>
      <c r="K70" s="57"/>
      <c r="M70" s="62"/>
      <c r="N70" s="63"/>
      <c r="O70" s="80"/>
      <c r="P70" s="57"/>
      <c r="R70" s="62"/>
      <c r="S70" s="63"/>
      <c r="T70" s="80"/>
      <c r="U70" s="57"/>
      <c r="W70" s="62"/>
      <c r="X70" s="63"/>
    </row>
    <row r="71" spans="1:24" x14ac:dyDescent="0.25">
      <c r="A71" t="s">
        <v>347</v>
      </c>
      <c r="B71" t="s">
        <v>145</v>
      </c>
      <c r="C71" s="62">
        <v>224.95</v>
      </c>
      <c r="D71" s="63"/>
      <c r="E71" s="80">
        <v>46205</v>
      </c>
      <c r="F71" s="57" t="s">
        <v>371</v>
      </c>
      <c r="G71" t="s">
        <v>109</v>
      </c>
      <c r="H71" s="62"/>
      <c r="I71" s="63">
        <v>17.600000000000001</v>
      </c>
      <c r="J71" s="80"/>
      <c r="K71" s="57"/>
      <c r="M71" s="62"/>
      <c r="N71" s="63"/>
      <c r="O71" s="80"/>
      <c r="P71" s="57"/>
      <c r="R71" s="62"/>
      <c r="S71" s="63"/>
      <c r="T71" s="80"/>
      <c r="U71" s="57"/>
      <c r="W71" s="62"/>
      <c r="X71" s="63"/>
    </row>
    <row r="72" spans="1:24" x14ac:dyDescent="0.25">
      <c r="A72" t="s">
        <v>329</v>
      </c>
      <c r="B72" t="s">
        <v>97</v>
      </c>
      <c r="C72" s="62">
        <v>108.67</v>
      </c>
      <c r="D72" s="63"/>
      <c r="E72" s="80">
        <v>46205</v>
      </c>
      <c r="F72" s="57" t="s">
        <v>371</v>
      </c>
      <c r="G72" t="s">
        <v>109</v>
      </c>
      <c r="H72" s="62"/>
      <c r="I72" s="63">
        <v>17.989999999999998</v>
      </c>
      <c r="J72" s="80"/>
      <c r="K72" s="57"/>
      <c r="M72" s="62"/>
      <c r="N72" s="63"/>
      <c r="O72" s="80"/>
      <c r="P72" s="57"/>
      <c r="R72" s="62"/>
      <c r="S72" s="63"/>
      <c r="T72" s="80"/>
      <c r="U72" s="57"/>
      <c r="W72" s="62"/>
      <c r="X72" s="63"/>
    </row>
    <row r="73" spans="1:24" x14ac:dyDescent="0.25">
      <c r="A73" t="s">
        <v>346</v>
      </c>
      <c r="B73" t="s">
        <v>109</v>
      </c>
      <c r="C73" s="62">
        <v>53</v>
      </c>
      <c r="D73" s="63"/>
      <c r="E73" s="80">
        <v>46205</v>
      </c>
      <c r="F73" s="57" t="s">
        <v>373</v>
      </c>
      <c r="G73" t="s">
        <v>136</v>
      </c>
      <c r="H73" s="62"/>
      <c r="I73" s="63">
        <v>200</v>
      </c>
      <c r="J73" s="80"/>
      <c r="K73" s="57"/>
      <c r="M73" s="62"/>
      <c r="N73" s="63"/>
      <c r="O73" s="80"/>
      <c r="P73" s="57"/>
      <c r="R73" s="62"/>
      <c r="S73" s="63"/>
      <c r="T73" s="80"/>
      <c r="U73" s="57"/>
      <c r="W73" s="62"/>
      <c r="X73" s="63"/>
    </row>
    <row r="74" spans="1:24" x14ac:dyDescent="0.25">
      <c r="A74" t="s">
        <v>341</v>
      </c>
      <c r="B74" t="s">
        <v>109</v>
      </c>
      <c r="C74" s="62">
        <v>21.5</v>
      </c>
      <c r="D74" s="63"/>
      <c r="E74" s="80">
        <v>46205</v>
      </c>
      <c r="F74" s="57" t="s">
        <v>374</v>
      </c>
      <c r="G74" t="s">
        <v>48</v>
      </c>
      <c r="H74" s="62"/>
      <c r="I74" s="63">
        <v>9.9</v>
      </c>
      <c r="J74" s="80"/>
      <c r="K74" s="57"/>
      <c r="M74" s="62"/>
      <c r="N74" s="63"/>
      <c r="O74" s="80"/>
      <c r="P74" s="57"/>
      <c r="R74" s="62"/>
      <c r="S74" s="63"/>
      <c r="T74" s="80"/>
      <c r="U74" s="57"/>
      <c r="W74" s="62"/>
      <c r="X74" s="63"/>
    </row>
    <row r="75" spans="1:24" x14ac:dyDescent="0.25">
      <c r="A75" t="s">
        <v>348</v>
      </c>
      <c r="B75" t="s">
        <v>109</v>
      </c>
      <c r="C75" s="62">
        <v>64.3</v>
      </c>
      <c r="D75" s="63"/>
      <c r="E75" s="80">
        <v>46205</v>
      </c>
      <c r="F75" s="57" t="s">
        <v>375</v>
      </c>
      <c r="G75" t="s">
        <v>134</v>
      </c>
      <c r="H75" s="62"/>
      <c r="I75" s="63">
        <v>21.95</v>
      </c>
      <c r="J75" s="80"/>
      <c r="K75" s="57"/>
      <c r="M75" s="62"/>
      <c r="N75" s="63"/>
      <c r="O75" s="80"/>
      <c r="P75" s="57"/>
      <c r="R75" s="62"/>
      <c r="S75" s="63"/>
      <c r="T75" s="80"/>
      <c r="U75" s="57"/>
      <c r="W75" s="62"/>
      <c r="X75" s="63"/>
    </row>
    <row r="76" spans="1:24" x14ac:dyDescent="0.25">
      <c r="A76" t="s">
        <v>330</v>
      </c>
      <c r="B76" t="s">
        <v>145</v>
      </c>
      <c r="C76" s="62">
        <v>23.53</v>
      </c>
      <c r="D76" s="63"/>
      <c r="E76" s="80">
        <v>46205</v>
      </c>
      <c r="F76" s="57" t="s">
        <v>376</v>
      </c>
      <c r="G76" t="s">
        <v>109</v>
      </c>
      <c r="H76" s="62"/>
      <c r="I76" s="63">
        <v>3.25</v>
      </c>
      <c r="J76" s="80"/>
      <c r="K76" s="57"/>
      <c r="M76" s="62"/>
      <c r="N76" s="63"/>
      <c r="O76" s="80"/>
      <c r="P76" s="57"/>
      <c r="R76" s="62"/>
      <c r="S76" s="63"/>
      <c r="T76" s="80"/>
      <c r="U76" s="57"/>
      <c r="W76" s="62"/>
      <c r="X76" s="63"/>
    </row>
    <row r="77" spans="1:24" x14ac:dyDescent="0.25">
      <c r="A77" t="s">
        <v>329</v>
      </c>
      <c r="B77" t="s">
        <v>97</v>
      </c>
      <c r="C77" s="62">
        <v>126.45</v>
      </c>
      <c r="D77" s="63"/>
      <c r="E77" s="80">
        <v>46205</v>
      </c>
      <c r="F77" s="57" t="s">
        <v>377</v>
      </c>
      <c r="G77" t="s">
        <v>48</v>
      </c>
      <c r="H77" s="62"/>
      <c r="I77" s="63">
        <v>11.4</v>
      </c>
      <c r="J77" s="80"/>
      <c r="K77" s="57"/>
      <c r="M77" s="62"/>
      <c r="N77" s="63"/>
      <c r="O77" s="80"/>
      <c r="P77" s="57"/>
      <c r="R77" s="62"/>
      <c r="S77" s="63"/>
      <c r="T77" s="80"/>
      <c r="U77" s="57"/>
      <c r="W77" s="62"/>
      <c r="X77" s="63"/>
    </row>
    <row r="78" spans="1:24" x14ac:dyDescent="0.25">
      <c r="A78" t="s">
        <v>340</v>
      </c>
      <c r="B78" t="s">
        <v>109</v>
      </c>
      <c r="C78" s="62">
        <v>15.5</v>
      </c>
      <c r="D78" s="63"/>
      <c r="E78" s="80">
        <v>46205</v>
      </c>
      <c r="F78" s="57" t="s">
        <v>378</v>
      </c>
      <c r="G78" t="s">
        <v>109</v>
      </c>
      <c r="H78" s="62"/>
      <c r="I78" s="63">
        <v>30.85</v>
      </c>
      <c r="J78" s="80"/>
      <c r="K78" s="57"/>
      <c r="M78" s="62"/>
      <c r="N78" s="63"/>
      <c r="O78" s="80"/>
      <c r="P78" s="57"/>
      <c r="R78" s="62"/>
      <c r="S78" s="63"/>
      <c r="T78" s="80"/>
      <c r="U78" s="57"/>
      <c r="W78" s="62"/>
      <c r="X78" s="63"/>
    </row>
    <row r="79" spans="1:24" x14ac:dyDescent="0.25">
      <c r="A79" t="s">
        <v>341</v>
      </c>
      <c r="B79" t="s">
        <v>109</v>
      </c>
      <c r="C79" s="62">
        <v>12.5</v>
      </c>
      <c r="D79" s="63"/>
      <c r="E79" s="80">
        <v>46206</v>
      </c>
      <c r="F79" s="57" t="s">
        <v>379</v>
      </c>
      <c r="G79" t="s">
        <v>109</v>
      </c>
      <c r="H79" s="62"/>
      <c r="I79" s="63">
        <v>12.85</v>
      </c>
      <c r="J79" s="80"/>
      <c r="K79" s="57"/>
      <c r="M79" s="62"/>
      <c r="N79" s="63"/>
      <c r="O79" s="80"/>
      <c r="P79" s="57"/>
      <c r="R79" s="62"/>
      <c r="S79" s="63"/>
      <c r="T79" s="80"/>
      <c r="U79" s="57"/>
      <c r="W79" s="62"/>
      <c r="X79" s="63"/>
    </row>
    <row r="80" spans="1:24" x14ac:dyDescent="0.25">
      <c r="A80" t="s">
        <v>349</v>
      </c>
      <c r="B80" t="s">
        <v>109</v>
      </c>
      <c r="C80" s="62">
        <v>25</v>
      </c>
      <c r="D80" s="63"/>
      <c r="E80" s="80">
        <v>46206</v>
      </c>
      <c r="F80" s="57" t="s">
        <v>375</v>
      </c>
      <c r="G80" t="s">
        <v>134</v>
      </c>
      <c r="H80" s="62"/>
      <c r="I80" s="63">
        <v>16.96</v>
      </c>
      <c r="J80" s="80"/>
      <c r="K80" s="57"/>
      <c r="M80" s="62"/>
      <c r="N80" s="63"/>
      <c r="O80" s="80"/>
      <c r="P80" s="57"/>
      <c r="R80" s="62"/>
      <c r="S80" s="63"/>
      <c r="T80" s="80"/>
      <c r="U80" s="57"/>
      <c r="W80" s="62"/>
      <c r="X80" s="63"/>
    </row>
    <row r="81" spans="1:24" x14ac:dyDescent="0.25">
      <c r="A81" t="s">
        <v>344</v>
      </c>
      <c r="B81" t="s">
        <v>109</v>
      </c>
      <c r="C81" s="62">
        <v>15.5</v>
      </c>
      <c r="D81" s="63"/>
      <c r="E81" s="80">
        <v>46206</v>
      </c>
      <c r="F81" s="57" t="s">
        <v>380</v>
      </c>
      <c r="G81" t="s">
        <v>134</v>
      </c>
      <c r="H81" s="62"/>
      <c r="I81" s="63">
        <v>43.52</v>
      </c>
      <c r="J81" s="80"/>
      <c r="K81" s="57"/>
      <c r="M81" s="62"/>
      <c r="N81" s="63"/>
      <c r="O81" s="80"/>
      <c r="P81" s="57"/>
      <c r="R81" s="62"/>
      <c r="S81" s="63"/>
      <c r="T81" s="80"/>
      <c r="U81" s="57"/>
      <c r="W81" s="62"/>
      <c r="X81" s="63"/>
    </row>
    <row r="82" spans="1:24" x14ac:dyDescent="0.25">
      <c r="A82" t="s">
        <v>350</v>
      </c>
      <c r="B82" t="s">
        <v>109</v>
      </c>
      <c r="C82" s="62">
        <v>70.19</v>
      </c>
      <c r="D82" s="63"/>
      <c r="E82" s="80">
        <v>46207</v>
      </c>
      <c r="F82" s="57" t="s">
        <v>381</v>
      </c>
      <c r="G82" t="s">
        <v>48</v>
      </c>
      <c r="H82" s="62"/>
      <c r="I82" s="63">
        <v>10.25</v>
      </c>
      <c r="J82" s="80"/>
      <c r="K82" s="57"/>
      <c r="M82" s="62"/>
      <c r="N82" s="63"/>
      <c r="O82" s="80"/>
      <c r="P82" s="57"/>
      <c r="R82" s="62"/>
      <c r="S82" s="63"/>
      <c r="T82" s="80"/>
      <c r="U82" s="57"/>
      <c r="W82" s="62"/>
      <c r="X82" s="63"/>
    </row>
    <row r="83" spans="1:24" x14ac:dyDescent="0.25">
      <c r="A83" t="s">
        <v>350</v>
      </c>
      <c r="B83" t="s">
        <v>109</v>
      </c>
      <c r="C83" s="62">
        <v>23.61</v>
      </c>
      <c r="D83" s="63"/>
      <c r="E83" s="80">
        <v>46207</v>
      </c>
      <c r="F83" s="57" t="s">
        <v>382</v>
      </c>
      <c r="G83" t="s">
        <v>134</v>
      </c>
      <c r="H83" s="62"/>
      <c r="I83" s="63">
        <v>17.600000000000001</v>
      </c>
      <c r="J83" s="80"/>
      <c r="K83" s="57"/>
      <c r="M83" s="62"/>
      <c r="N83" s="63"/>
      <c r="O83" s="80"/>
      <c r="P83" s="57"/>
      <c r="R83" s="62"/>
      <c r="S83" s="63"/>
      <c r="T83" s="80"/>
      <c r="U83" s="57"/>
      <c r="W83" s="62"/>
      <c r="X83" s="63"/>
    </row>
    <row r="84" spans="1:24" x14ac:dyDescent="0.25">
      <c r="A84" t="s">
        <v>351</v>
      </c>
      <c r="B84" t="s">
        <v>48</v>
      </c>
      <c r="C84" s="62">
        <v>51</v>
      </c>
      <c r="D84" s="63"/>
      <c r="E84" s="80">
        <v>46207</v>
      </c>
      <c r="F84" s="57" t="s">
        <v>383</v>
      </c>
      <c r="G84" t="s">
        <v>48</v>
      </c>
      <c r="H84" s="62"/>
      <c r="I84" s="63">
        <v>22</v>
      </c>
      <c r="J84" s="80"/>
      <c r="K84" s="57"/>
      <c r="M84" s="62"/>
      <c r="N84" s="63"/>
      <c r="O84" s="80"/>
      <c r="P84" s="57"/>
      <c r="R84" s="62"/>
      <c r="S84" s="63"/>
      <c r="T84" s="80"/>
      <c r="U84" s="57"/>
      <c r="W84" s="62"/>
      <c r="X84" s="63"/>
    </row>
    <row r="85" spans="1:24" x14ac:dyDescent="0.25">
      <c r="A85" t="s">
        <v>352</v>
      </c>
      <c r="B85" t="s">
        <v>130</v>
      </c>
      <c r="C85" s="62">
        <v>98.5</v>
      </c>
      <c r="D85" s="63"/>
      <c r="E85" s="80">
        <v>46207</v>
      </c>
      <c r="F85" s="57" t="s">
        <v>384</v>
      </c>
      <c r="G85" t="s">
        <v>109</v>
      </c>
      <c r="H85" s="62"/>
      <c r="I85" s="63">
        <v>7.3</v>
      </c>
      <c r="J85" s="80"/>
      <c r="K85" s="57"/>
      <c r="M85" s="62"/>
      <c r="N85" s="63"/>
      <c r="O85" s="80"/>
      <c r="P85" s="57"/>
      <c r="R85" s="62"/>
      <c r="S85" s="63"/>
      <c r="T85" s="80"/>
      <c r="U85" s="57"/>
      <c r="W85" s="62"/>
      <c r="X85" s="63"/>
    </row>
    <row r="86" spans="1:24" x14ac:dyDescent="0.25">
      <c r="A86" t="s">
        <v>353</v>
      </c>
      <c r="B86" t="s">
        <v>97</v>
      </c>
      <c r="C86" s="62">
        <v>255.19</v>
      </c>
      <c r="D86" s="63"/>
      <c r="E86" s="80">
        <v>46207</v>
      </c>
      <c r="F86" s="57" t="s">
        <v>291</v>
      </c>
      <c r="G86" t="s">
        <v>134</v>
      </c>
      <c r="H86" s="62"/>
      <c r="I86" s="63">
        <v>67.27</v>
      </c>
      <c r="J86" s="80"/>
      <c r="K86" s="57"/>
      <c r="M86" s="62"/>
      <c r="N86" s="63"/>
      <c r="O86" s="80"/>
      <c r="P86" s="57"/>
      <c r="R86" s="62"/>
      <c r="S86" s="63"/>
      <c r="T86" s="80"/>
      <c r="U86" s="57"/>
      <c r="W86" s="62"/>
      <c r="X86" s="63"/>
    </row>
    <row r="87" spans="1:24" x14ac:dyDescent="0.25">
      <c r="A87" t="s">
        <v>348</v>
      </c>
      <c r="B87" t="s">
        <v>109</v>
      </c>
      <c r="C87" s="62">
        <v>69.2</v>
      </c>
      <c r="D87" s="63"/>
      <c r="E87" s="80">
        <v>46207</v>
      </c>
      <c r="F87" s="57" t="s">
        <v>385</v>
      </c>
      <c r="G87" t="s">
        <v>134</v>
      </c>
      <c r="H87" s="62"/>
      <c r="I87" s="63">
        <v>81.97</v>
      </c>
      <c r="J87" s="80"/>
      <c r="K87" s="57"/>
      <c r="M87" s="62"/>
      <c r="N87" s="63"/>
      <c r="O87" s="80"/>
      <c r="P87" s="57"/>
      <c r="R87" s="62"/>
      <c r="S87" s="63"/>
      <c r="T87" s="80"/>
      <c r="U87" s="57"/>
      <c r="W87" s="62"/>
      <c r="X87" s="63"/>
    </row>
    <row r="88" spans="1:24" x14ac:dyDescent="0.25">
      <c r="A88" t="s">
        <v>354</v>
      </c>
      <c r="B88" t="s">
        <v>97</v>
      </c>
      <c r="C88" s="62">
        <v>57.5</v>
      </c>
      <c r="D88" s="63"/>
      <c r="E88" s="80">
        <v>46207</v>
      </c>
      <c r="F88" s="57" t="s">
        <v>386</v>
      </c>
      <c r="G88" t="s">
        <v>134</v>
      </c>
      <c r="H88" s="62"/>
      <c r="I88" s="63">
        <v>128</v>
      </c>
      <c r="J88" s="80"/>
      <c r="K88" s="57"/>
      <c r="M88" s="62"/>
      <c r="N88" s="63"/>
      <c r="O88" s="80"/>
      <c r="P88" s="57"/>
      <c r="R88" s="62"/>
      <c r="S88" s="63"/>
      <c r="T88" s="80"/>
      <c r="U88" s="57"/>
      <c r="W88" s="62"/>
      <c r="X88" s="63"/>
    </row>
    <row r="89" spans="1:24" x14ac:dyDescent="0.25">
      <c r="A89" t="s">
        <v>347</v>
      </c>
      <c r="B89" t="s">
        <v>145</v>
      </c>
      <c r="C89" s="62">
        <v>77.7</v>
      </c>
      <c r="D89" s="63"/>
      <c r="E89" s="80">
        <v>46208</v>
      </c>
      <c r="F89" s="57" t="s">
        <v>387</v>
      </c>
      <c r="G89" t="s">
        <v>97</v>
      </c>
      <c r="H89" s="62"/>
      <c r="I89" s="63">
        <v>1.35</v>
      </c>
      <c r="J89" s="80"/>
      <c r="K89" s="57"/>
      <c r="M89" s="62"/>
      <c r="N89" s="63"/>
      <c r="O89" s="80"/>
      <c r="P89" s="57"/>
      <c r="R89" s="62"/>
      <c r="S89" s="63"/>
      <c r="T89" s="80"/>
      <c r="U89" s="57"/>
      <c r="W89" s="62"/>
      <c r="X89" s="63"/>
    </row>
    <row r="90" spans="1:24" x14ac:dyDescent="0.25">
      <c r="A90" t="s">
        <v>335</v>
      </c>
      <c r="B90" t="s">
        <v>144</v>
      </c>
      <c r="C90" s="62">
        <v>117.9</v>
      </c>
      <c r="D90" s="63"/>
      <c r="E90" s="80">
        <v>46208</v>
      </c>
      <c r="F90" s="57" t="s">
        <v>388</v>
      </c>
      <c r="G90" t="s">
        <v>109</v>
      </c>
      <c r="H90" s="62"/>
      <c r="I90" s="63">
        <v>6.9</v>
      </c>
      <c r="J90" s="80"/>
      <c r="K90" s="57"/>
      <c r="M90" s="62"/>
      <c r="N90" s="63"/>
      <c r="O90" s="80"/>
      <c r="P90" s="57"/>
      <c r="R90" s="62"/>
      <c r="S90" s="63"/>
      <c r="T90" s="80"/>
      <c r="U90" s="57"/>
      <c r="W90" s="62"/>
      <c r="X90" s="63"/>
    </row>
    <row r="91" spans="1:24" x14ac:dyDescent="0.25">
      <c r="A91" t="s">
        <v>355</v>
      </c>
      <c r="B91" t="s">
        <v>145</v>
      </c>
      <c r="C91" s="62">
        <v>77.8</v>
      </c>
      <c r="D91" s="63"/>
      <c r="E91" s="80">
        <v>46208</v>
      </c>
      <c r="F91" s="57" t="s">
        <v>389</v>
      </c>
      <c r="G91" t="s">
        <v>134</v>
      </c>
      <c r="H91" s="62"/>
      <c r="I91" s="63">
        <v>73</v>
      </c>
      <c r="J91" s="80"/>
      <c r="K91" s="57"/>
      <c r="M91" s="62"/>
      <c r="N91" s="63"/>
      <c r="O91" s="80"/>
      <c r="P91" s="57"/>
      <c r="R91" s="62"/>
      <c r="S91" s="63"/>
      <c r="T91" s="80"/>
      <c r="U91" s="57"/>
      <c r="W91" s="62"/>
      <c r="X91" s="63"/>
    </row>
    <row r="92" spans="1:24" x14ac:dyDescent="0.25">
      <c r="C92" s="62"/>
      <c r="D92" s="63"/>
      <c r="E92" s="80"/>
      <c r="F92" s="57" t="s">
        <v>313</v>
      </c>
      <c r="G92" t="s">
        <v>134</v>
      </c>
      <c r="H92" s="62"/>
      <c r="I92" s="63">
        <v>55.22</v>
      </c>
      <c r="J92" s="80"/>
      <c r="K92" s="57"/>
      <c r="M92" s="62"/>
      <c r="N92" s="63"/>
      <c r="O92" s="80"/>
      <c r="P92" s="57"/>
      <c r="R92" s="62"/>
      <c r="S92" s="63"/>
      <c r="T92" s="80"/>
      <c r="U92" s="57"/>
      <c r="W92" s="62"/>
      <c r="X92" s="63"/>
    </row>
    <row r="93" spans="1:24" x14ac:dyDescent="0.25">
      <c r="C93" s="62"/>
      <c r="D93" s="63"/>
      <c r="E93" s="80"/>
      <c r="F93" s="57" t="s">
        <v>390</v>
      </c>
      <c r="G93" t="s">
        <v>144</v>
      </c>
      <c r="H93" s="62"/>
      <c r="I93" s="63">
        <v>36</v>
      </c>
      <c r="J93" s="80"/>
      <c r="K93" s="57"/>
      <c r="M93" s="62"/>
      <c r="N93" s="63"/>
      <c r="O93" s="80"/>
      <c r="P93" s="57"/>
      <c r="R93" s="62"/>
      <c r="S93" s="63"/>
      <c r="T93" s="80"/>
      <c r="U93" s="57"/>
      <c r="W93" s="62"/>
      <c r="X93" s="63"/>
    </row>
    <row r="94" spans="1:24" x14ac:dyDescent="0.25">
      <c r="C94" s="62"/>
      <c r="D94" s="63"/>
      <c r="E94" s="80"/>
      <c r="F94" s="57" t="s">
        <v>379</v>
      </c>
      <c r="G94" t="s">
        <v>109</v>
      </c>
      <c r="H94" s="62"/>
      <c r="I94" s="63">
        <v>21.35</v>
      </c>
      <c r="J94" s="80"/>
      <c r="K94" s="57"/>
      <c r="M94" s="62"/>
      <c r="N94" s="63"/>
      <c r="O94" s="80"/>
      <c r="P94" s="57"/>
      <c r="R94" s="62"/>
      <c r="S94" s="63"/>
      <c r="T94" s="80"/>
      <c r="U94" s="57"/>
      <c r="W94" s="62"/>
      <c r="X94" s="63"/>
    </row>
    <row r="95" spans="1:24" x14ac:dyDescent="0.25">
      <c r="C95" s="62"/>
      <c r="D95" s="63"/>
      <c r="E95" s="80"/>
      <c r="F95" s="57" t="s">
        <v>391</v>
      </c>
      <c r="G95" t="s">
        <v>137</v>
      </c>
      <c r="H95" s="62"/>
      <c r="I95" s="63">
        <v>20.5</v>
      </c>
      <c r="J95" s="80"/>
      <c r="K95" s="57"/>
      <c r="M95" s="62"/>
      <c r="N95" s="63"/>
      <c r="O95" s="80"/>
      <c r="P95" s="57"/>
      <c r="R95" s="62"/>
      <c r="S95" s="63"/>
      <c r="T95" s="80"/>
      <c r="U95" s="57"/>
      <c r="W95" s="62"/>
      <c r="X95" s="63"/>
    </row>
    <row r="96" spans="1:24" x14ac:dyDescent="0.25">
      <c r="C96" s="62"/>
      <c r="D96" s="63"/>
      <c r="E96" s="80"/>
      <c r="F96" s="57" t="s">
        <v>392</v>
      </c>
      <c r="G96" t="s">
        <v>131</v>
      </c>
      <c r="H96" s="62"/>
      <c r="I96" s="63">
        <v>119.96</v>
      </c>
      <c r="J96" s="80"/>
      <c r="K96" s="57"/>
      <c r="M96" s="62"/>
      <c r="N96" s="63"/>
      <c r="O96" s="80"/>
      <c r="P96" s="57"/>
      <c r="R96" s="62"/>
      <c r="S96" s="63"/>
      <c r="T96" s="80"/>
      <c r="U96" s="57"/>
      <c r="W96" s="62"/>
      <c r="X96" s="63"/>
    </row>
    <row r="97" spans="1:24" x14ac:dyDescent="0.25">
      <c r="C97" s="62"/>
      <c r="D97" s="63"/>
      <c r="E97" s="80"/>
      <c r="F97" s="57" t="s">
        <v>393</v>
      </c>
      <c r="G97" t="s">
        <v>48</v>
      </c>
      <c r="H97" s="62"/>
      <c r="I97" s="63">
        <v>45</v>
      </c>
      <c r="J97" s="80"/>
      <c r="K97" s="57"/>
      <c r="M97" s="62"/>
      <c r="N97" s="63"/>
      <c r="O97" s="80"/>
      <c r="P97" s="57"/>
      <c r="R97" s="62"/>
      <c r="S97" s="63"/>
      <c r="T97" s="80"/>
      <c r="U97" s="57"/>
      <c r="W97" s="62"/>
      <c r="X97" s="63"/>
    </row>
    <row r="98" spans="1:24" x14ac:dyDescent="0.25">
      <c r="C98" s="62"/>
      <c r="D98" s="63"/>
      <c r="E98" s="80"/>
      <c r="F98" s="57" t="s">
        <v>394</v>
      </c>
      <c r="G98" t="s">
        <v>48</v>
      </c>
      <c r="H98" s="62"/>
      <c r="I98" s="63">
        <v>17</v>
      </c>
      <c r="J98" s="80"/>
      <c r="K98" s="57"/>
      <c r="M98" s="62"/>
      <c r="N98" s="63"/>
      <c r="O98" s="80"/>
      <c r="P98" s="57"/>
      <c r="R98" s="62"/>
      <c r="S98" s="63"/>
      <c r="T98" s="80"/>
      <c r="U98" s="57"/>
      <c r="W98" s="62"/>
      <c r="X98" s="63"/>
    </row>
    <row r="99" spans="1:24" x14ac:dyDescent="0.25">
      <c r="C99" s="62"/>
      <c r="D99" s="63"/>
      <c r="E99" s="80"/>
      <c r="F99" s="57" t="s">
        <v>395</v>
      </c>
      <c r="G99" t="s">
        <v>137</v>
      </c>
      <c r="H99" s="62"/>
      <c r="I99" s="63">
        <v>5.49</v>
      </c>
      <c r="J99" s="80"/>
      <c r="K99" s="57"/>
      <c r="M99" s="62"/>
      <c r="N99" s="63"/>
      <c r="O99" s="80"/>
      <c r="P99" s="57"/>
      <c r="R99" s="62"/>
      <c r="S99" s="63"/>
      <c r="T99" s="80"/>
      <c r="U99" s="57"/>
      <c r="W99" s="62"/>
      <c r="X99" s="63"/>
    </row>
    <row r="100" spans="1:24" x14ac:dyDescent="0.25">
      <c r="C100" s="62"/>
      <c r="D100" s="63"/>
      <c r="E100" s="80"/>
      <c r="F100" s="57" t="s">
        <v>396</v>
      </c>
      <c r="G100" t="s">
        <v>48</v>
      </c>
      <c r="H100" s="62"/>
      <c r="I100" s="63">
        <v>22.8</v>
      </c>
      <c r="J100" s="80"/>
      <c r="K100" s="57"/>
      <c r="M100" s="62"/>
      <c r="N100" s="63"/>
      <c r="O100" s="80"/>
      <c r="P100" s="57"/>
      <c r="R100" s="62"/>
      <c r="S100" s="63"/>
      <c r="T100" s="80"/>
      <c r="U100" s="57"/>
      <c r="W100" s="62"/>
      <c r="X100" s="63"/>
    </row>
    <row r="101" spans="1:24" x14ac:dyDescent="0.25">
      <c r="C101" s="62"/>
      <c r="D101" s="63"/>
      <c r="E101" s="80"/>
      <c r="F101" s="57" t="s">
        <v>397</v>
      </c>
      <c r="G101" t="s">
        <v>134</v>
      </c>
      <c r="H101" s="62"/>
      <c r="I101" s="63">
        <v>2.2000000000000002</v>
      </c>
      <c r="J101" s="80"/>
      <c r="K101" s="57"/>
      <c r="M101" s="62"/>
      <c r="N101" s="63"/>
      <c r="O101" s="80"/>
      <c r="P101" s="57"/>
      <c r="R101" s="62"/>
      <c r="S101" s="63"/>
      <c r="T101" s="80"/>
      <c r="U101" s="57"/>
      <c r="W101" s="62"/>
      <c r="X101" s="63"/>
    </row>
    <row r="102" spans="1:24" x14ac:dyDescent="0.25">
      <c r="C102" s="62"/>
      <c r="D102" s="63"/>
      <c r="E102" s="80"/>
      <c r="F102" s="57"/>
      <c r="H102" s="62"/>
      <c r="I102" s="63"/>
      <c r="J102" s="98"/>
      <c r="K102" s="57"/>
      <c r="M102" s="62"/>
      <c r="N102" s="63"/>
      <c r="O102" s="80"/>
      <c r="P102" s="57"/>
      <c r="R102" s="62"/>
      <c r="S102" s="63"/>
      <c r="T102" s="80"/>
      <c r="U102" s="57"/>
      <c r="W102" s="62"/>
      <c r="X102" s="63"/>
    </row>
    <row r="103" spans="1:24" x14ac:dyDescent="0.25">
      <c r="C103" s="62"/>
      <c r="D103" s="63"/>
      <c r="E103" s="80"/>
      <c r="F103" s="57"/>
      <c r="H103" s="62"/>
      <c r="I103" s="63"/>
      <c r="J103" s="98"/>
      <c r="K103" s="57"/>
      <c r="M103" s="62"/>
      <c r="N103" s="63"/>
      <c r="O103" s="80"/>
      <c r="P103" s="57"/>
      <c r="R103" s="62"/>
      <c r="S103" s="63"/>
      <c r="T103" s="80"/>
      <c r="U103" s="57"/>
      <c r="W103" s="62"/>
      <c r="X103" s="63"/>
    </row>
    <row r="104" spans="1:24" x14ac:dyDescent="0.25">
      <c r="C104" s="62"/>
      <c r="D104" s="63"/>
      <c r="E104" s="80"/>
      <c r="F104" s="57"/>
      <c r="H104" s="62"/>
      <c r="I104" s="63"/>
      <c r="J104" s="80"/>
      <c r="K104" s="57"/>
      <c r="M104" s="62"/>
      <c r="N104" s="63"/>
      <c r="O104" s="80"/>
      <c r="P104" s="57"/>
      <c r="R104" s="62"/>
      <c r="S104" s="63"/>
      <c r="T104" s="80"/>
      <c r="U104" s="57"/>
      <c r="W104" s="62"/>
      <c r="X104" s="63"/>
    </row>
    <row r="105" spans="1:24" ht="13" x14ac:dyDescent="0.3">
      <c r="A105" s="49" t="s">
        <v>3</v>
      </c>
      <c r="B105" s="50"/>
      <c r="C105" s="48">
        <f>SUM(C37:C91)+SUM(D37:D91)/Resumen!$D$1</f>
        <v>9191.3433333333323</v>
      </c>
      <c r="D105" s="51">
        <f>SUM(D37:D91)+SUM(C37:C91)*Resumen!$D$1</f>
        <v>2205.9223999999995</v>
      </c>
      <c r="E105" s="82"/>
      <c r="F105" s="58"/>
      <c r="G105" s="50"/>
      <c r="H105" s="48">
        <f>SUM(H37:H101)+SUM(I37:I101)/Resumen!$D$1</f>
        <v>9360.4249999999993</v>
      </c>
      <c r="I105" s="51">
        <f>SUM(I37:I101)+SUM(H37:H91)*Resumen!$D$1</f>
        <v>2246.502</v>
      </c>
      <c r="J105" s="82"/>
      <c r="K105" s="58"/>
      <c r="L105" s="50"/>
      <c r="M105" s="48">
        <f>SUM(M37:M91)+SUM(N37:N91)/Resumen!$D$1</f>
        <v>0</v>
      </c>
      <c r="N105" s="51">
        <f>SUM(N37:N91)+SUM(M37:M91)*Resumen!$D$1</f>
        <v>0</v>
      </c>
      <c r="O105" s="82"/>
      <c r="P105" s="58"/>
      <c r="Q105" s="50"/>
      <c r="R105" s="48">
        <f>SUM(R37:R91)+SUM(S37:S91)/Resumen!$D$1</f>
        <v>0</v>
      </c>
      <c r="S105" s="51">
        <f>SUM(S37:S91)+SUM(R37:R91)*Resumen!$D$1</f>
        <v>0</v>
      </c>
      <c r="T105" s="82"/>
      <c r="U105" s="58"/>
      <c r="V105" s="50"/>
      <c r="W105" s="48">
        <f>SUM(W37:W91)+SUM(X37:X91)/Resumen!$D$1</f>
        <v>0</v>
      </c>
      <c r="X105" s="51">
        <f>SUM(X37:X91)+SUM(W37:W91)*Resumen!$D$1</f>
        <v>0</v>
      </c>
    </row>
    <row r="106" spans="1:24" ht="13" x14ac:dyDescent="0.3">
      <c r="A106" s="52" t="s">
        <v>56</v>
      </c>
      <c r="B106" s="53"/>
      <c r="C106" s="54">
        <f>Resumen!$B$32-C105</f>
        <v>-6211.3433333333323</v>
      </c>
      <c r="D106" s="55">
        <f>Resumen!$C$32-D105</f>
        <v>-1490.7223999999997</v>
      </c>
      <c r="E106" s="83"/>
      <c r="F106" s="59"/>
      <c r="G106" s="53"/>
      <c r="H106" s="54">
        <f>C106-H105</f>
        <v>-15571.768333333332</v>
      </c>
      <c r="I106" s="55">
        <f>D106-I105</f>
        <v>-3737.2243999999996</v>
      </c>
      <c r="J106" s="83"/>
      <c r="K106" s="59"/>
      <c r="L106" s="53"/>
      <c r="M106" s="54">
        <f>H106-M105</f>
        <v>-15571.768333333332</v>
      </c>
      <c r="N106" s="55">
        <f>I106-N105</f>
        <v>-3737.2243999999996</v>
      </c>
      <c r="O106" s="83"/>
      <c r="P106" s="59"/>
      <c r="Q106" s="53"/>
      <c r="R106" s="54">
        <f>M106-R105</f>
        <v>-15571.768333333332</v>
      </c>
      <c r="S106" s="55">
        <f>N106-S105</f>
        <v>-3737.2243999999996</v>
      </c>
      <c r="T106" s="83"/>
      <c r="U106" s="59"/>
      <c r="V106" s="53"/>
      <c r="W106" s="54">
        <f>R106-W105</f>
        <v>-15571.768333333332</v>
      </c>
      <c r="X106" s="55">
        <f>S106-X105</f>
        <v>-3737.2243999999996</v>
      </c>
    </row>
    <row r="107" spans="1:24" x14ac:dyDescent="0.25">
      <c r="A107" s="80"/>
      <c r="F107" s="80"/>
      <c r="K107" s="80"/>
      <c r="P107" s="80"/>
      <c r="U107" s="80"/>
    </row>
    <row r="108" spans="1:24" x14ac:dyDescent="0.25">
      <c r="A108" s="80"/>
      <c r="F108" s="80"/>
      <c r="K108" s="80"/>
      <c r="P108" s="80"/>
      <c r="U108" s="80"/>
    </row>
    <row r="109" spans="1:24" x14ac:dyDescent="0.25">
      <c r="A109" s="80"/>
      <c r="F109" s="80"/>
      <c r="K109" s="80"/>
      <c r="P109" s="80"/>
      <c r="U109" s="80"/>
    </row>
    <row r="110" spans="1:24" x14ac:dyDescent="0.25">
      <c r="A110" s="80"/>
      <c r="F110" s="80"/>
      <c r="H110" s="62"/>
      <c r="I110" s="63"/>
      <c r="J110" s="109"/>
      <c r="K110" s="80"/>
      <c r="P110" s="80"/>
      <c r="U110" s="80"/>
    </row>
    <row r="111" spans="1:24" x14ac:dyDescent="0.25">
      <c r="H111" s="109"/>
    </row>
  </sheetData>
  <mergeCells count="2">
    <mergeCell ref="A11:D11"/>
    <mergeCell ref="A1:D1"/>
  </mergeCells>
  <conditionalFormatting sqref="C7:D7">
    <cfRule type="cellIs" dxfId="5" priority="1" operator="lessThan">
      <formula>0</formula>
    </cfRule>
  </conditionalFormatting>
  <dataValidations count="1">
    <dataValidation type="list" allowBlank="1" showInputMessage="1" showErrorMessage="1" sqref="V33:V134 G33:G134 L33:L134 Q33:Q134 B88:B134 B33:B58" xr:uid="{5D95B6F1-EDD3-4D2C-905E-C8493FE6477C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A39F-5596-427A-8A09-8200FC3FF79E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4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D6831377-E7A5-46DA-A1AD-DBBDAEAA7610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5998-651F-4BA3-9166-A26B7F5BFEC8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3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45FC3AC5-DD9C-4927-ADE3-6B2D5D570AD8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0631-BF4C-4322-91E0-B3A9F073C6BE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2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5688AD4F-4CB8-4299-AAE9-079718B839DC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6A60-A7E1-4CC6-8E28-40197078617A}">
  <dimension ref="A1:X62"/>
  <sheetViews>
    <sheetView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1" priority="1" operator="lessThan">
      <formula>0</formula>
    </cfRule>
  </conditionalFormatting>
  <dataValidations count="1">
    <dataValidation type="list" allowBlank="1" showInputMessage="1" showErrorMessage="1" sqref="B33:B86 G33:G86 L33:L86 Q33:Q86 V33:V86" xr:uid="{4F50C373-B400-47C7-B3F4-30CDFD75D98A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5BC2-3DDB-4C6F-B5D6-3C92E68B8374}">
  <dimension ref="A1:X62"/>
  <sheetViews>
    <sheetView topLeftCell="A34" workbookViewId="0">
      <selection activeCell="T47" sqref="T47"/>
    </sheetView>
  </sheetViews>
  <sheetFormatPr baseColWidth="10" defaultRowHeight="12.5" x14ac:dyDescent="0.25"/>
  <cols>
    <col min="1" max="1" width="13.6328125" customWidth="1"/>
    <col min="2" max="2" width="10" customWidth="1"/>
    <col min="3" max="3" width="13.6328125" customWidth="1"/>
    <col min="4" max="4" width="12.7265625" customWidth="1"/>
    <col min="5" max="5" width="21.81640625" customWidth="1"/>
    <col min="6" max="7" width="13.6328125" customWidth="1"/>
    <col min="8" max="8" width="12.7265625" customWidth="1"/>
    <col min="9" max="9" width="21.81640625" customWidth="1"/>
    <col min="10" max="10" width="10" customWidth="1"/>
    <col min="11" max="11" width="13.6328125" customWidth="1"/>
    <col min="12" max="12" width="12.7265625" customWidth="1"/>
    <col min="13" max="13" width="21.81640625" customWidth="1"/>
    <col min="14" max="14" width="10" customWidth="1"/>
    <col min="15" max="16" width="13.6328125" customWidth="1"/>
    <col min="17" max="17" width="21.81640625" customWidth="1"/>
    <col min="18" max="18" width="10" customWidth="1"/>
    <col min="19" max="19" width="13.6328125" customWidth="1"/>
    <col min="20" max="20" width="12.7265625" customWidth="1"/>
    <col min="21" max="21" width="13.6328125" customWidth="1"/>
  </cols>
  <sheetData>
    <row r="1" spans="1:4" ht="14" x14ac:dyDescent="0.3">
      <c r="A1" s="100" t="s">
        <v>279</v>
      </c>
      <c r="B1" s="100"/>
      <c r="C1" s="100"/>
      <c r="D1" s="100"/>
    </row>
    <row r="2" spans="1:4" x14ac:dyDescent="0.25">
      <c r="A2" s="88" t="s">
        <v>24</v>
      </c>
      <c r="B2" s="88"/>
      <c r="C2" s="88" t="s">
        <v>141</v>
      </c>
      <c r="D2" s="88" t="s">
        <v>142</v>
      </c>
    </row>
    <row r="3" spans="1:4" x14ac:dyDescent="0.25">
      <c r="A3" t="s">
        <v>280</v>
      </c>
      <c r="C3" s="89">
        <f>Resumen!$C$4</f>
        <v>25000</v>
      </c>
      <c r="D3" s="37">
        <f>C3*Resumen!$D$1</f>
        <v>6000</v>
      </c>
    </row>
    <row r="4" spans="1:4" x14ac:dyDescent="0.25">
      <c r="A4" t="s">
        <v>281</v>
      </c>
      <c r="C4" s="7">
        <f>D4/Resumen!$D$1</f>
        <v>5000</v>
      </c>
      <c r="D4" s="90">
        <f>Resumen!$C$5*Resumen!$D$1</f>
        <v>1200</v>
      </c>
    </row>
    <row r="5" spans="1:4" x14ac:dyDescent="0.25">
      <c r="A5" t="s">
        <v>282</v>
      </c>
      <c r="C5" s="7">
        <f>D5/Resumen!$D$1</f>
        <v>1800</v>
      </c>
      <c r="D5" s="90">
        <f>Resumen!$C$6*Resumen!$D$1</f>
        <v>432</v>
      </c>
    </row>
    <row r="6" spans="1:4" ht="13" x14ac:dyDescent="0.3">
      <c r="A6" s="17" t="s">
        <v>23</v>
      </c>
      <c r="B6" s="17"/>
      <c r="C6" s="19">
        <f>SUM(C3:C5)</f>
        <v>31800</v>
      </c>
      <c r="D6" s="91">
        <f>SUM(D3:D5)</f>
        <v>7632</v>
      </c>
    </row>
    <row r="7" spans="1:4" ht="13" x14ac:dyDescent="0.3">
      <c r="A7" s="92" t="s">
        <v>283</v>
      </c>
      <c r="B7" s="92"/>
      <c r="C7" s="93">
        <f>C6-C32</f>
        <v>31800</v>
      </c>
      <c r="D7" s="94">
        <f>D6-D32</f>
        <v>7632</v>
      </c>
    </row>
    <row r="9" spans="1:4" ht="20" x14ac:dyDescent="0.4">
      <c r="A9" s="16" t="s">
        <v>60</v>
      </c>
    </row>
    <row r="11" spans="1:4" ht="14" x14ac:dyDescent="0.3">
      <c r="A11" s="99" t="s">
        <v>138</v>
      </c>
      <c r="B11" s="99"/>
      <c r="C11" s="99"/>
      <c r="D11" s="99"/>
    </row>
    <row r="12" spans="1:4" x14ac:dyDescent="0.25">
      <c r="A12" s="6" t="s">
        <v>139</v>
      </c>
      <c r="B12" s="6" t="s">
        <v>140</v>
      </c>
      <c r="C12" s="6" t="s">
        <v>141</v>
      </c>
      <c r="D12" s="6" t="s">
        <v>142</v>
      </c>
    </row>
    <row r="13" spans="1:4" x14ac:dyDescent="0.25">
      <c r="A13" t="s">
        <v>48</v>
      </c>
      <c r="B13" s="64">
        <f>COUNTIF(B37:B56,A13)+COUNTIF(G37:G56,A13)+COUNTIF(L37:L56,A13)+COUNTIF(Q37:Q56,A13)+COUNTIF(V37:V56,A13)</f>
        <v>0</v>
      </c>
      <c r="C13" s="65">
        <f>SUMIF(B37:B56,A13,C37:C56)+SUMIF(G37:G56,A13,H37:H56)+SUMIF(L37:L56,A13,M37:M56)+SUMIF(Q37:Q56,A13,R37:R56)+SUMIF(V37:V56,A13,W37:W56)+(SUMIF(B37:B56,A13,D37:D56)+SUMIF(G37:G56,A13,I37:I56)+SUMIF(L37:L56,A13,N37:N56)+SUMIF(Q37:Q56,A13,S37:S56)+SUMIF(V37:V56,A13,X37:X56))/Resumen!$D$1</f>
        <v>0</v>
      </c>
      <c r="D13" s="66">
        <f>C13*Resumen!$D$1</f>
        <v>0</v>
      </c>
    </row>
    <row r="14" spans="1:4" x14ac:dyDescent="0.25">
      <c r="A14" s="67" t="s">
        <v>129</v>
      </c>
      <c r="B14" s="68">
        <f>COUNTIF(B37:B56,A14)+COUNTIF(G37:G56,A14)+COUNTIF(L37:L56,A14)+COUNTIF(Q37:Q56,A14)+COUNTIF(V37:V56,A14)</f>
        <v>0</v>
      </c>
      <c r="C14" s="69">
        <f>SUMIF(B37:B56,A14,C37:C56)+SUMIF(G37:G56,A14,H37:H56)+SUMIF(L37:L56,A14,M37:M56)+SUMIF(Q37:Q56,A14,R37:R56)+SUMIF(V37:V56,A14,W37:W56)+(SUMIF(B37:B56,A14,D37:D56)+SUMIF(G37:G56,A14,I37:I56)+SUMIF(L37:L56,A14,N37:N56)+SUMIF(Q37:Q56,A14,S37:S56)+SUMIF(V37:V56,A14,X37:X56))/Resumen!$D$1</f>
        <v>0</v>
      </c>
      <c r="D14" s="70">
        <f>C14*Resumen!$D$1</f>
        <v>0</v>
      </c>
    </row>
    <row r="15" spans="1:4" x14ac:dyDescent="0.25">
      <c r="A15" t="s">
        <v>130</v>
      </c>
      <c r="B15" s="64">
        <f>COUNTIF(B37:B56,A15)+COUNTIF(G37:G56,A15)+COUNTIF(L37:L56,A15)+COUNTIF(Q37:Q56,A15)+COUNTIF(V37:V56,A15)</f>
        <v>0</v>
      </c>
      <c r="C15" s="65">
        <f>SUMIF(B37:B56,A15,C37:C56)+SUMIF(G37:G56,A15,H37:H56)+SUMIF(L37:L56,A15,M37:M56)+SUMIF(Q37:Q56,A15,R37:R56)+SUMIF(V37:V56,A15,W37:W56)+(SUMIF(B37:B56,A15,D37:D56)+SUMIF(G37:G56,A15,I37:I56)+SUMIF(L37:L56,A15,N37:N56)+SUMIF(Q37:Q56,A15,S37:S56)+SUMIF(V37:V56,A15,X37:X56))/Resumen!$D$1</f>
        <v>0</v>
      </c>
      <c r="D15" s="66">
        <f>C15*Resumen!$D$1</f>
        <v>0</v>
      </c>
    </row>
    <row r="16" spans="1:4" x14ac:dyDescent="0.25">
      <c r="A16" s="67" t="s">
        <v>131</v>
      </c>
      <c r="B16" s="68">
        <f>COUNTIF(B37:B56,A16)+COUNTIF(G37:G56,A16)+COUNTIF(L37:L56,A16)+COUNTIF(Q37:Q56,A16)+COUNTIF(V37:V56,A16)</f>
        <v>0</v>
      </c>
      <c r="C16" s="69">
        <f>SUMIF(B37:B56,A16,C37:C56)+SUMIF(G37:G56,A16,H37:H56)+SUMIF(L37:L56,A16,M37:M56)+SUMIF(Q37:Q56,A16,R37:R56)+SUMIF(V37:V56,A16,W37:W56)+(SUMIF(B37:B56,A16,D37:D56)+SUMIF(G37:G56,A16,I37:I56)+SUMIF(L37:L56,A16,N37:N56)+SUMIF(Q37:Q56,A16,S37:S56)+SUMIF(V37:V56,A16,X37:X56))/Resumen!$D$1</f>
        <v>0</v>
      </c>
      <c r="D16" s="70">
        <f>C16*Resumen!$D$1</f>
        <v>0</v>
      </c>
    </row>
    <row r="17" spans="1:4" x14ac:dyDescent="0.25">
      <c r="A17" t="s">
        <v>132</v>
      </c>
      <c r="B17" s="64">
        <f>COUNTIF(B37:B56,A17)+COUNTIF(G37:G56,A17)+COUNTIF(L37:L56,A17)+COUNTIF(Q37:Q56,A17)+COUNTIF(V37:V56,A17)</f>
        <v>0</v>
      </c>
      <c r="C17" s="65">
        <f>SUMIF(B37:B56,A17,C37:C56)+SUMIF(G37:G56,A17,H37:H56)+SUMIF(L37:L56,A17,M37:M56)+SUMIF(Q37:Q56,A17,R37:R56)+SUMIF(V37:V56,A17,W37:W56)+(SUMIF(B37:B56,A17,D37:D56)+SUMIF(G37:G56,A17,I37:I56)+SUMIF(L37:L56,A17,N37:N56)+SUMIF(Q37:Q56,A17,S37:S56)+SUMIF(V37:V56,A17,X37:X56))/Resumen!$D$1</f>
        <v>0</v>
      </c>
      <c r="D17" s="66">
        <f>C17*Resumen!$D$1</f>
        <v>0</v>
      </c>
    </row>
    <row r="18" spans="1:4" x14ac:dyDescent="0.25">
      <c r="A18" s="67" t="s">
        <v>133</v>
      </c>
      <c r="B18" s="68">
        <f>COUNTIF(B37:B56,A18)+COUNTIF(G37:G56,A18)+COUNTIF(L37:L56,A18)+COUNTIF(Q37:Q56,A18)+COUNTIF(V37:V56,A18)</f>
        <v>0</v>
      </c>
      <c r="C18" s="69">
        <f>SUMIF(B37:B56,A18,C37:C56)+SUMIF(G37:G56,A18,H37:H56)+SUMIF(L37:L56,A18,M37:M56)+SUMIF(Q37:Q56,A18,R37:R56)+SUMIF(V37:V56,A18,W37:W56)+(SUMIF(B37:B56,A18,D37:D56)+SUMIF(G37:G56,A18,I37:I56)+SUMIF(L37:L56,A18,N37:N56)+SUMIF(Q37:Q56,A18,S37:S56)+SUMIF(V37:V56,A18,X37:X56))/Resumen!$D$1</f>
        <v>0</v>
      </c>
      <c r="D18" s="70">
        <f>C18*Resumen!$D$1</f>
        <v>0</v>
      </c>
    </row>
    <row r="19" spans="1:4" x14ac:dyDescent="0.25">
      <c r="A19" t="s">
        <v>134</v>
      </c>
      <c r="B19" s="64">
        <f>COUNTIF(B37:B56,A19)+COUNTIF(G37:G56,A19)+COUNTIF(L37:L56,A19)+COUNTIF(Q37:Q56,A19)+COUNTIF(V37:V56,A19)</f>
        <v>0</v>
      </c>
      <c r="C19" s="65">
        <f>SUMIF(B37:B56,A19,C37:C56)+SUMIF(G37:G56,A19,H37:H56)+SUMIF(L37:L56,A19,M37:M56)+SUMIF(Q37:Q56,A19,R37:R56)+SUMIF(V37:V56,A19,W37:W56)+(SUMIF(B37:B56,A19,D37:D56)+SUMIF(G37:G56,A19,I37:I56)+SUMIF(L37:L56,A19,N37:N56)+SUMIF(Q37:Q56,A19,S37:S56)+SUMIF(V37:V56,A19,X37:X56))/Resumen!$D$1</f>
        <v>0</v>
      </c>
      <c r="D19" s="66">
        <f>C19*Resumen!$D$1</f>
        <v>0</v>
      </c>
    </row>
    <row r="20" spans="1:4" x14ac:dyDescent="0.25">
      <c r="A20" s="67" t="s">
        <v>135</v>
      </c>
      <c r="B20" s="68">
        <f>COUNTIF(B37:B56,A20)+COUNTIF(G37:G56,A20)+COUNTIF(L37:L56,A20)+COUNTIF(Q37:Q56,A20)+COUNTIF(V37:V56,A20)</f>
        <v>0</v>
      </c>
      <c r="C20" s="69">
        <f>SUMIF(B37:B56,A20,C37:C56)+SUMIF(G37:G56,A20,H37:H56)+SUMIF(L37:L56,A20,M37:M56)+SUMIF(Q37:Q56,A20,R37:R56)+SUMIF(V37:V56,A20,W37:W56)+(SUMIF(B37:B56,A20,D37:D56)+SUMIF(G37:G56,A20,I37:I56)+SUMIF(L37:L56,A20,N37:N56)+SUMIF(Q37:Q56,A20,S37:S56)+SUMIF(V37:V56,A20,X37:X56))/Resumen!$D$1</f>
        <v>0</v>
      </c>
      <c r="D20" s="70">
        <f>C20*Resumen!$D$1</f>
        <v>0</v>
      </c>
    </row>
    <row r="21" spans="1:4" x14ac:dyDescent="0.25">
      <c r="A21" t="s">
        <v>109</v>
      </c>
      <c r="B21" s="64">
        <f>COUNTIF(B37:B56,A21)+COUNTIF(G37:G56,A21)+COUNTIF(L37:L56,A21)+COUNTIF(Q37:Q56,A21)+COUNTIF(V37:V56,A21)</f>
        <v>0</v>
      </c>
      <c r="C21" s="65">
        <f>SUMIF(B37:B56,A21,C37:C56)+SUMIF(G37:G56,A21,H37:H56)+SUMIF(L37:L56,A21,M37:M56)+SUMIF(Q37:Q56,A21,R37:R56)+SUMIF(V37:V56,A21,W37:W56)+(SUMIF(B37:B56,A21,D37:D56)+SUMIF(G37:G56,A21,I37:I56)+SUMIF(L37:L56,A21,N37:N56)+SUMIF(Q37:Q56,A21,S37:S56)+SUMIF(V37:V56,A21,X37:X56))/Resumen!$D$1</f>
        <v>0</v>
      </c>
      <c r="D21" s="66">
        <f>C21*Resumen!$D$1</f>
        <v>0</v>
      </c>
    </row>
    <row r="22" spans="1:4" x14ac:dyDescent="0.25">
      <c r="A22" s="67" t="s">
        <v>136</v>
      </c>
      <c r="B22" s="68">
        <f>COUNTIF(B37:B56,A22)+COUNTIF(G37:G56,A22)+COUNTIF(L37:L56,A22)+COUNTIF(Q37:Q56,A22)+COUNTIF(V37:V56,A22)</f>
        <v>0</v>
      </c>
      <c r="C22" s="69">
        <f>SUMIF(B37:B56,A22,C37:C56)+SUMIF(G37:G56,A22,H37:H56)+SUMIF(L37:L56,A22,M37:M56)+SUMIF(Q37:Q56,A22,R37:R56)+SUMIF(V37:V56,A22,W37:W56)+(SUMIF(B37:B56,A22,D37:D56)+SUMIF(G37:G56,A22,I37:I56)+SUMIF(L37:L56,A22,N37:N56)+SUMIF(Q37:Q56,A22,S37:S56)+SUMIF(V37:V56,A22,X37:X56))/Resumen!$D$1</f>
        <v>0</v>
      </c>
      <c r="D22" s="70">
        <f>C22*Resumen!$D$1</f>
        <v>0</v>
      </c>
    </row>
    <row r="23" spans="1:4" x14ac:dyDescent="0.25">
      <c r="A23" s="84" t="s">
        <v>229</v>
      </c>
      <c r="B23" s="85">
        <f>COUNTIF(B37:B56,A23)+COUNTIF(G37:G56,A23)+COUNTIF(L37:L56,A23)+COUNTIF(Q37:Q56,A23)+COUNTIF(V37:V56,A23)</f>
        <v>0</v>
      </c>
      <c r="C23" s="86">
        <f>SUMIF(B37:B56,A23,C37:C56)+SUMIF(G37:G56,A23,H37:H56)+SUMIF(L37:L56,A23,M37:M56)+SUMIF(Q37:Q56,A23,R37:R56)+SUMIF(V37:V56,A23,W37:W56)+(SUMIF(B37:B56,A23,D37:D56)+SUMIF(G37:G56,A23,I37:I56)+SUMIF(L37:L56,A23,N37:N56)+SUMIF(Q37:Q56,A23,S37:S56)+SUMIF(V37:V56,A23,X37:X56))/Resumen!$D$1</f>
        <v>0</v>
      </c>
      <c r="D23" s="70">
        <f>C23*Resumen!$D$1</f>
        <v>0</v>
      </c>
    </row>
    <row r="24" spans="1:4" x14ac:dyDescent="0.25">
      <c r="A24" s="67" t="s">
        <v>230</v>
      </c>
      <c r="B24" s="68">
        <f>COUNTIF(B37:B56,A24)+COUNTIF(G37:G56,A24)+COUNTIF(L37:L56,A24)+COUNTIF(Q37:Q56,A24)+COUNTIF(V37:V56,A24)</f>
        <v>0</v>
      </c>
      <c r="C24" s="69">
        <f>SUMIF(B37:B56,A24,C37:C56)+SUMIF(G37:G56,A24,H37:H56)+SUMIF(L37:L56,A24,M37:M56)+SUMIF(Q37:Q56,A24,R37:R56)+SUMIF(V37:V56,A24,W37:W56)+(SUMIF(B37:B56,A24,D37:D56)+SUMIF(G37:G56,A24,I37:I56)+SUMIF(L37:L56,A24,N37:N56)+SUMIF(Q37:Q56,A24,S37:S56)+SUMIF(V37:V56,A24,X37:X56))/Resumen!$D$1</f>
        <v>0</v>
      </c>
      <c r="D24" s="70">
        <f>C24*Resumen!$D$1</f>
        <v>0</v>
      </c>
    </row>
    <row r="25" spans="1:4" x14ac:dyDescent="0.25">
      <c r="A25" s="84" t="s">
        <v>231</v>
      </c>
      <c r="B25" s="85">
        <f>COUNTIF(B37:B56,A25)+COUNTIF(G37:G56,A25)+COUNTIF(L37:L56,A25)+COUNTIF(Q37:Q56,A25)+COUNTIF(V37:V56,A25)</f>
        <v>0</v>
      </c>
      <c r="C25" s="86">
        <f>SUMIF(B37:B56,A25,C37:C56)+SUMIF(G37:G56,A25,H37:H56)+SUMIF(L37:L56,A25,M37:M56)+SUMIF(Q37:Q56,A25,R37:R56)+SUMIF(V37:V56,A25,W37:W56)+(SUMIF(B37:B56,A25,D37:D56)+SUMIF(G37:G56,A25,I37:I56)+SUMIF(L37:L56,A25,N37:N56)+SUMIF(Q37:Q56,A25,S37:S56)+SUMIF(V37:V56,A25,X37:X56))/Resumen!$D$1</f>
        <v>0</v>
      </c>
      <c r="D25" s="70">
        <f>C25*Resumen!$D$1</f>
        <v>0</v>
      </c>
    </row>
    <row r="26" spans="1:4" x14ac:dyDescent="0.25">
      <c r="A26" s="67" t="s">
        <v>232</v>
      </c>
      <c r="B26" s="68">
        <f>COUNTIF(B37:B56,A26)+COUNTIF(G37:G56,A26)+COUNTIF(L37:L56,A26)+COUNTIF(Q37:Q56,A26)+COUNTIF(V37:V56,A26)</f>
        <v>0</v>
      </c>
      <c r="C26" s="69">
        <f>SUMIF(B37:B56,A26,C37:C56)+SUMIF(G37:G56,A26,H37:H56)+SUMIF(L37:L56,A26,M37:M56)+SUMIF(Q37:Q56,A26,R37:R56)+SUMIF(V37:V56,A26,W37:W56)+(SUMIF(B37:B56,A26,D37:D56)+SUMIF(G37:G56,A26,I37:I56)+SUMIF(L37:L56,A26,N37:N56)+SUMIF(Q37:Q56,A26,S37:S56)+SUMIF(V37:V56,A26,X37:X56))/Resumen!$D$1</f>
        <v>0</v>
      </c>
      <c r="D26" s="70">
        <f>C26*Resumen!$D$1</f>
        <v>0</v>
      </c>
    </row>
    <row r="27" spans="1:4" x14ac:dyDescent="0.25">
      <c r="A27" t="s">
        <v>137</v>
      </c>
      <c r="B27" s="64">
        <f>COUNTIF(B37:B56,A27)+COUNTIF(G37:G56,A27)+COUNTIF(L37:L56,A27)+COUNTIF(Q37:Q56,A27)+COUNTIF(V37:V56,A27)</f>
        <v>0</v>
      </c>
      <c r="C27" s="65">
        <f>SUMIF(B37:B56,A27,C37:C56)+SUMIF(G37:G56,A27,H37:H56)+SUMIF(L37:L56,A27,M37:M56)+SUMIF(Q37:Q56,A27,R37:R56)+SUMIF(V37:V56,A27,W37:W56)+(SUMIF(B37:B56,A27,D37:D56)+SUMIF(G37:G56,A27,I37:I56)+SUMIF(L37:L56,A27,N37:N56)+SUMIF(Q37:Q56,A27,S37:S56)+SUMIF(V37:V56,A27,X37:X56))/Resumen!$D$1</f>
        <v>0</v>
      </c>
      <c r="D27" s="66">
        <f>C27*Resumen!$D$1</f>
        <v>0</v>
      </c>
    </row>
    <row r="28" spans="1:4" x14ac:dyDescent="0.25">
      <c r="A28" s="67" t="s">
        <v>144</v>
      </c>
      <c r="B28" s="68">
        <f>COUNTIF(B37:B56,A28)+COUNTIF(G37:G56,A28)+COUNTIF(L37:L56,A28)+COUNTIF(Q37:Q56,A28)+COUNTIF(V37:V56,A28)</f>
        <v>0</v>
      </c>
      <c r="C28" s="69">
        <f>SUMIF(B37:B56,A28,C37:C56)+SUMIF(G37:G56,A28,H37:H56)+SUMIF(L37:L56,A28,M37:M56)+SUMIF(Q37:Q56,A28,R37:R56)+SUMIF(V37:V56,A28,W37:W56)+(SUMIF(B37:B56,A28,D37:D56)+SUMIF(G37:G56,A28,I37:I56)+SUMIF(L37:L56,A28,N37:N56)+SUMIF(Q37:Q56,A28,S37:S56)+SUMIF(V37:V56,A28,X37:X56))/Resumen!$D$1</f>
        <v>0</v>
      </c>
      <c r="D28" s="70">
        <f>C28*Resumen!$D$1</f>
        <v>0</v>
      </c>
    </row>
    <row r="29" spans="1:4" x14ac:dyDescent="0.25">
      <c r="A29" t="s">
        <v>145</v>
      </c>
      <c r="B29" s="64">
        <f>COUNTIF(B37:B56,A29)+COUNTIF(G37:G56,A29)+COUNTIF(L37:L56,A29)+COUNTIF(Q37:Q56,A29)+COUNTIF(V37:V56,A29)</f>
        <v>0</v>
      </c>
      <c r="C29" s="65">
        <f>SUMIF(B37:B56,A29,C37:C56)+SUMIF(G37:G56,A29,H37:H56)+SUMIF(L37:L56,A29,M37:M56)+SUMIF(Q37:Q56,A29,R37:R56)+SUMIF(V37:V56,A29,W37:W56)+(SUMIF(B37:B56,A29,D37:D56)+SUMIF(G37:G56,A29,I37:I56)+SUMIF(L37:L56,A29,N37:N56)+SUMIF(Q37:Q56,A29,S37:S56)+SUMIF(V37:V56,A29,X37:X56))/Resumen!$D$1</f>
        <v>0</v>
      </c>
      <c r="D29" s="66">
        <f>C29*Resumen!$D$1</f>
        <v>0</v>
      </c>
    </row>
    <row r="30" spans="1:4" x14ac:dyDescent="0.25">
      <c r="A30" s="67" t="s">
        <v>97</v>
      </c>
      <c r="B30" s="68">
        <f>COUNTIF(B37:B56,A30)+COUNTIF(G37:G56,A30)+COUNTIF(L37:L56,A30)+COUNTIF(Q37:Q56,A30)+COUNTIF(V37:V56,A30)</f>
        <v>0</v>
      </c>
      <c r="C30" s="69">
        <f>SUMIF(B37:B56,A30,C37:C56)+SUMIF(G37:G56,A30,H37:H56)+SUMIF(L37:L56,A30,M37:M56)+SUMIF(Q37:Q56,A30,R37:R56)+SUMIF(V37:V56,A30,W37:W56)+(SUMIF(B37:B56,A30,D37:D56)+SUMIF(G37:G56,A30,I37:I56)+SUMIF(L37:L56,A30,N37:N56)+SUMIF(Q37:Q56,A30,S37:S56)+SUMIF(V37:V56,A30,X37:X56))/Resumen!$D$1</f>
        <v>0</v>
      </c>
      <c r="D30" s="70">
        <f>C30*Resumen!$D$1</f>
        <v>0</v>
      </c>
    </row>
    <row r="31" spans="1:4" x14ac:dyDescent="0.25">
      <c r="A31" t="s">
        <v>103</v>
      </c>
      <c r="B31" s="64">
        <f>COUNTIF(B37:B56,A31)+COUNTIF(G37:G56,A31)+COUNTIF(L37:L56,A31)+COUNTIF(Q37:Q56,A31)+COUNTIF(V37:V56,A31)</f>
        <v>0</v>
      </c>
      <c r="C31" s="65">
        <f>SUMIF(B37:B56,A31,C37:C56)+SUMIF(G37:G56,A31,H37:H56)+SUMIF(L37:L56,A31,M37:M56)+SUMIF(Q37:Q56,A31,R37:R56)+SUMIF(V37:V56,A31,W37:W56)+(SUMIF(B37:B56,A31,D37:D56)+SUMIF(G37:G56,A31,I37:I56)+SUMIF(L37:L56,A31,N37:N56)+SUMIF(Q37:Q56,A31,S37:S56)+SUMIF(V37:V56,A31,X37:X56))/Resumen!$D$1</f>
        <v>0</v>
      </c>
      <c r="D31" s="66">
        <f>C31*Resumen!$D$1</f>
        <v>0</v>
      </c>
    </row>
    <row r="32" spans="1:4" ht="13" x14ac:dyDescent="0.3">
      <c r="A32" s="60" t="s">
        <v>143</v>
      </c>
      <c r="B32" s="71">
        <f>SUM(B13:B31)</f>
        <v>0</v>
      </c>
      <c r="C32" s="61">
        <f>SUM(C13:C31)</f>
        <v>0</v>
      </c>
      <c r="D32" s="72">
        <f>SUM(D13:D31)</f>
        <v>0</v>
      </c>
    </row>
    <row r="34" spans="1:24" ht="14" x14ac:dyDescent="0.3">
      <c r="A34" s="79" t="s">
        <v>49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</row>
    <row r="35" spans="1:24" ht="13" x14ac:dyDescent="0.3">
      <c r="A35" s="74" t="s">
        <v>50</v>
      </c>
      <c r="B35" s="74"/>
      <c r="C35" s="74"/>
      <c r="D35" s="74"/>
      <c r="E35" s="74"/>
      <c r="F35" s="74" t="s">
        <v>51</v>
      </c>
      <c r="G35" s="74"/>
      <c r="H35" s="74"/>
      <c r="I35" s="74"/>
      <c r="J35" s="74"/>
      <c r="K35" s="74" t="s">
        <v>52</v>
      </c>
      <c r="L35" s="74"/>
      <c r="M35" s="74"/>
      <c r="N35" s="74"/>
      <c r="O35" s="74"/>
      <c r="P35" s="74" t="s">
        <v>53</v>
      </c>
      <c r="Q35" s="74"/>
      <c r="R35" s="74"/>
      <c r="S35" s="74"/>
      <c r="T35" s="74"/>
      <c r="U35" s="74" t="s">
        <v>54</v>
      </c>
      <c r="V35" s="74"/>
      <c r="W35" s="74"/>
      <c r="X35" s="74"/>
    </row>
    <row r="36" spans="1:24" x14ac:dyDescent="0.25">
      <c r="A36" s="36" t="s">
        <v>24</v>
      </c>
      <c r="B36" s="36" t="s">
        <v>55</v>
      </c>
      <c r="C36" s="36" t="s">
        <v>1</v>
      </c>
      <c r="D36" s="36" t="s">
        <v>6</v>
      </c>
      <c r="E36" s="36" t="s">
        <v>204</v>
      </c>
      <c r="F36" s="56" t="s">
        <v>24</v>
      </c>
      <c r="G36" s="36" t="s">
        <v>55</v>
      </c>
      <c r="H36" s="36" t="s">
        <v>1</v>
      </c>
      <c r="I36" s="36" t="s">
        <v>6</v>
      </c>
      <c r="J36" s="36" t="s">
        <v>204</v>
      </c>
      <c r="K36" s="56" t="s">
        <v>24</v>
      </c>
      <c r="L36" s="36" t="s">
        <v>55</v>
      </c>
      <c r="M36" s="36" t="s">
        <v>1</v>
      </c>
      <c r="N36" s="36" t="s">
        <v>6</v>
      </c>
      <c r="O36" s="36" t="s">
        <v>204</v>
      </c>
      <c r="P36" s="56" t="s">
        <v>24</v>
      </c>
      <c r="Q36" s="36" t="s">
        <v>55</v>
      </c>
      <c r="R36" s="36" t="s">
        <v>1</v>
      </c>
      <c r="S36" s="36" t="s">
        <v>6</v>
      </c>
      <c r="T36" s="36" t="s">
        <v>204</v>
      </c>
      <c r="U36" s="56" t="s">
        <v>24</v>
      </c>
      <c r="V36" s="36" t="s">
        <v>55</v>
      </c>
      <c r="W36" s="36" t="s">
        <v>1</v>
      </c>
      <c r="X36" s="36" t="s">
        <v>6</v>
      </c>
    </row>
    <row r="37" spans="1:24" x14ac:dyDescent="0.25">
      <c r="C37" s="62"/>
      <c r="D37" s="63"/>
      <c r="E37" s="80"/>
      <c r="F37" s="57"/>
      <c r="H37" s="62"/>
      <c r="I37" s="63"/>
      <c r="J37" s="80"/>
      <c r="K37" s="57"/>
      <c r="M37" s="62"/>
      <c r="N37" s="63"/>
      <c r="O37" s="80"/>
      <c r="P37" s="57"/>
      <c r="R37" s="62"/>
      <c r="S37" s="63"/>
      <c r="T37" s="80"/>
      <c r="U37" s="57"/>
      <c r="W37" s="62"/>
      <c r="X37" s="63"/>
    </row>
    <row r="38" spans="1:24" x14ac:dyDescent="0.25">
      <c r="C38" s="62"/>
      <c r="D38" s="63"/>
      <c r="E38" s="80"/>
      <c r="F38" s="57"/>
      <c r="H38" s="62"/>
      <c r="I38" s="63"/>
      <c r="J38" s="80"/>
      <c r="K38" s="57"/>
      <c r="M38" s="62"/>
      <c r="N38" s="63"/>
      <c r="O38" s="80"/>
      <c r="P38" s="57"/>
      <c r="R38" s="62"/>
      <c r="S38" s="63"/>
      <c r="T38" s="80"/>
      <c r="U38" s="57"/>
      <c r="W38" s="62"/>
      <c r="X38" s="63"/>
    </row>
    <row r="39" spans="1:24" x14ac:dyDescent="0.25">
      <c r="C39" s="62"/>
      <c r="D39" s="63"/>
      <c r="E39" s="80"/>
      <c r="F39" s="57"/>
      <c r="H39" s="62"/>
      <c r="I39" s="63"/>
      <c r="J39" s="80"/>
      <c r="K39" s="57"/>
      <c r="M39" s="62"/>
      <c r="N39" s="63"/>
      <c r="O39" s="80"/>
      <c r="P39" s="57"/>
      <c r="R39" s="62"/>
      <c r="S39" s="63"/>
      <c r="T39" s="80"/>
      <c r="U39" s="57"/>
      <c r="W39" s="62"/>
      <c r="X39" s="63"/>
    </row>
    <row r="40" spans="1:24" x14ac:dyDescent="0.25">
      <c r="C40" s="62"/>
      <c r="D40" s="63"/>
      <c r="E40" s="80"/>
      <c r="F40" s="57"/>
      <c r="H40" s="62"/>
      <c r="I40" s="63"/>
      <c r="J40" s="80"/>
      <c r="K40" s="57"/>
      <c r="M40" s="62"/>
      <c r="N40" s="63"/>
      <c r="O40" s="80"/>
      <c r="P40" s="57"/>
      <c r="R40" s="62"/>
      <c r="S40" s="63"/>
      <c r="T40" s="80"/>
      <c r="U40" s="57"/>
      <c r="W40" s="62"/>
      <c r="X40" s="63"/>
    </row>
    <row r="41" spans="1:24" x14ac:dyDescent="0.25">
      <c r="C41" s="62"/>
      <c r="D41" s="63"/>
      <c r="E41" s="80"/>
      <c r="F41" s="57"/>
      <c r="H41" s="62"/>
      <c r="I41" s="63"/>
      <c r="J41" s="80"/>
      <c r="K41" s="57"/>
      <c r="M41" s="62"/>
      <c r="N41" s="63"/>
      <c r="O41" s="80"/>
      <c r="P41" s="57"/>
      <c r="R41" s="62"/>
      <c r="S41" s="63"/>
      <c r="T41" s="80"/>
      <c r="U41" s="57"/>
      <c r="W41" s="62"/>
      <c r="X41" s="63"/>
    </row>
    <row r="42" spans="1:24" x14ac:dyDescent="0.25">
      <c r="C42" s="62"/>
      <c r="D42" s="63"/>
      <c r="E42" s="80"/>
      <c r="F42" s="57"/>
      <c r="H42" s="62"/>
      <c r="I42" s="63"/>
      <c r="J42" s="80"/>
      <c r="K42" s="57"/>
      <c r="M42" s="62"/>
      <c r="N42" s="63"/>
      <c r="O42" s="80"/>
      <c r="P42" s="57"/>
      <c r="R42" s="62"/>
      <c r="S42" s="63"/>
      <c r="T42" s="80"/>
      <c r="U42" s="57"/>
      <c r="W42" s="62"/>
      <c r="X42" s="63"/>
    </row>
    <row r="43" spans="1:24" x14ac:dyDescent="0.25">
      <c r="C43" s="62"/>
      <c r="D43" s="63"/>
      <c r="E43" s="80"/>
      <c r="F43" s="57"/>
      <c r="H43" s="62"/>
      <c r="I43" s="63"/>
      <c r="J43" s="80"/>
      <c r="K43" s="57"/>
      <c r="M43" s="62"/>
      <c r="N43" s="63"/>
      <c r="O43" s="80"/>
      <c r="P43" s="57"/>
      <c r="R43" s="62"/>
      <c r="S43" s="63"/>
      <c r="T43" s="80"/>
      <c r="U43" s="57"/>
      <c r="W43" s="62"/>
      <c r="X43" s="63"/>
    </row>
    <row r="44" spans="1:24" x14ac:dyDescent="0.25">
      <c r="C44" s="62"/>
      <c r="D44" s="63"/>
      <c r="E44" s="80"/>
      <c r="F44" s="57"/>
      <c r="H44" s="62"/>
      <c r="I44" s="63"/>
      <c r="J44" s="80"/>
      <c r="K44" s="57"/>
      <c r="M44" s="62"/>
      <c r="N44" s="63"/>
      <c r="O44" s="80"/>
      <c r="P44" s="57"/>
      <c r="R44" s="62"/>
      <c r="S44" s="63"/>
      <c r="T44" s="80"/>
      <c r="U44" s="57"/>
      <c r="W44" s="62"/>
      <c r="X44" s="63"/>
    </row>
    <row r="45" spans="1:24" x14ac:dyDescent="0.25">
      <c r="C45" s="62"/>
      <c r="D45" s="63"/>
      <c r="E45" s="80"/>
      <c r="F45" s="57"/>
      <c r="H45" s="62"/>
      <c r="I45" s="63"/>
      <c r="J45" s="80"/>
      <c r="K45" s="57"/>
      <c r="M45" s="62"/>
      <c r="N45" s="63"/>
      <c r="O45" s="80"/>
      <c r="P45" s="57"/>
      <c r="R45" s="62"/>
      <c r="S45" s="63"/>
      <c r="T45" s="80"/>
      <c r="U45" s="57"/>
      <c r="W45" s="62"/>
      <c r="X45" s="63"/>
    </row>
    <row r="46" spans="1:24" x14ac:dyDescent="0.25">
      <c r="C46" s="62"/>
      <c r="D46" s="63"/>
      <c r="E46" s="80"/>
      <c r="F46" s="57"/>
      <c r="H46" s="62"/>
      <c r="I46" s="63"/>
      <c r="J46" s="80"/>
      <c r="K46" s="57"/>
      <c r="M46" s="62"/>
      <c r="N46" s="63"/>
      <c r="O46" s="80"/>
      <c r="P46" s="57"/>
      <c r="R46" s="62"/>
      <c r="S46" s="63"/>
      <c r="T46" s="80"/>
      <c r="U46" s="57"/>
      <c r="W46" s="62"/>
      <c r="X46" s="63"/>
    </row>
    <row r="47" spans="1:24" x14ac:dyDescent="0.25">
      <c r="C47" s="62"/>
      <c r="D47" s="63"/>
      <c r="E47" s="80"/>
      <c r="F47" s="57"/>
      <c r="H47" s="62"/>
      <c r="I47" s="63"/>
      <c r="J47" s="80"/>
      <c r="K47" s="57"/>
      <c r="M47" s="62"/>
      <c r="N47" s="63"/>
      <c r="O47" s="80"/>
      <c r="P47" s="57"/>
      <c r="R47" s="62"/>
      <c r="S47" s="63"/>
      <c r="T47" s="80"/>
      <c r="U47" s="57"/>
      <c r="W47" s="62"/>
      <c r="X47" s="63"/>
    </row>
    <row r="48" spans="1:24" x14ac:dyDescent="0.25">
      <c r="C48" s="62"/>
      <c r="D48" s="63"/>
      <c r="E48" s="80"/>
      <c r="F48" s="57"/>
      <c r="H48" s="62"/>
      <c r="I48" s="63"/>
      <c r="J48" s="80"/>
      <c r="K48" s="57"/>
      <c r="M48" s="62"/>
      <c r="N48" s="63"/>
      <c r="O48" s="80"/>
      <c r="P48" s="57"/>
      <c r="R48" s="62"/>
      <c r="S48" s="63"/>
      <c r="T48" s="80"/>
      <c r="U48" s="57"/>
      <c r="W48" s="62"/>
      <c r="X48" s="63"/>
    </row>
    <row r="49" spans="1:24" x14ac:dyDescent="0.25">
      <c r="C49" s="62"/>
      <c r="D49" s="63"/>
      <c r="E49" s="80"/>
      <c r="F49" s="57"/>
      <c r="H49" s="62"/>
      <c r="I49" s="63"/>
      <c r="J49" s="80"/>
      <c r="K49" s="57"/>
      <c r="M49" s="62"/>
      <c r="N49" s="63"/>
      <c r="O49" s="80"/>
      <c r="P49" s="57"/>
      <c r="R49" s="62"/>
      <c r="S49" s="63"/>
      <c r="T49" s="80"/>
      <c r="U49" s="57"/>
      <c r="W49" s="62"/>
      <c r="X49" s="63"/>
    </row>
    <row r="50" spans="1:24" x14ac:dyDescent="0.25">
      <c r="C50" s="62"/>
      <c r="D50" s="63"/>
      <c r="E50" s="80"/>
      <c r="F50" s="57"/>
      <c r="H50" s="62"/>
      <c r="I50" s="63"/>
      <c r="J50" s="80"/>
      <c r="K50" s="57"/>
      <c r="M50" s="62"/>
      <c r="N50" s="63"/>
      <c r="O50" s="80"/>
      <c r="P50" s="57"/>
      <c r="R50" s="62"/>
      <c r="S50" s="63"/>
      <c r="T50" s="80"/>
      <c r="U50" s="57"/>
      <c r="W50" s="62"/>
      <c r="X50" s="63"/>
    </row>
    <row r="51" spans="1:24" x14ac:dyDescent="0.25">
      <c r="C51" s="62"/>
      <c r="D51" s="63"/>
      <c r="E51" s="80"/>
      <c r="F51" s="57"/>
      <c r="H51" s="62"/>
      <c r="I51" s="63"/>
      <c r="J51" s="80"/>
      <c r="K51" s="57"/>
      <c r="M51" s="62"/>
      <c r="N51" s="63"/>
      <c r="O51" s="80"/>
      <c r="P51" s="57"/>
      <c r="R51" s="62"/>
      <c r="S51" s="63"/>
      <c r="T51" s="80"/>
      <c r="U51" s="57"/>
      <c r="W51" s="62"/>
      <c r="X51" s="63"/>
    </row>
    <row r="52" spans="1:24" x14ac:dyDescent="0.25">
      <c r="C52" s="62"/>
      <c r="D52" s="63"/>
      <c r="E52" s="80"/>
      <c r="F52" s="57"/>
      <c r="H52" s="62"/>
      <c r="I52" s="63"/>
      <c r="J52" s="80"/>
      <c r="K52" s="57"/>
      <c r="M52" s="62"/>
      <c r="N52" s="63"/>
      <c r="O52" s="80"/>
      <c r="P52" s="57"/>
      <c r="R52" s="62"/>
      <c r="S52" s="63"/>
      <c r="T52" s="80"/>
      <c r="U52" s="57"/>
      <c r="W52" s="62"/>
      <c r="X52" s="63"/>
    </row>
    <row r="53" spans="1:24" x14ac:dyDescent="0.25">
      <c r="C53" s="62"/>
      <c r="D53" s="63"/>
      <c r="E53" s="80"/>
      <c r="F53" s="57"/>
      <c r="H53" s="62"/>
      <c r="I53" s="63"/>
      <c r="J53" s="80"/>
      <c r="K53" s="57"/>
      <c r="M53" s="62"/>
      <c r="N53" s="63"/>
      <c r="O53" s="80"/>
      <c r="P53" s="57"/>
      <c r="R53" s="62"/>
      <c r="S53" s="63"/>
      <c r="T53" s="80"/>
      <c r="U53" s="57"/>
      <c r="W53" s="62"/>
      <c r="X53" s="63"/>
    </row>
    <row r="54" spans="1:24" x14ac:dyDescent="0.25">
      <c r="C54" s="62"/>
      <c r="D54" s="63"/>
      <c r="E54" s="80"/>
      <c r="F54" s="57"/>
      <c r="H54" s="62"/>
      <c r="I54" s="63"/>
      <c r="J54" s="80"/>
      <c r="K54" s="57"/>
      <c r="M54" s="62"/>
      <c r="N54" s="63"/>
      <c r="O54" s="80"/>
      <c r="P54" s="57"/>
      <c r="R54" s="62"/>
      <c r="S54" s="63"/>
      <c r="T54" s="80"/>
      <c r="U54" s="57"/>
      <c r="W54" s="62"/>
      <c r="X54" s="63"/>
    </row>
    <row r="55" spans="1:24" x14ac:dyDescent="0.25">
      <c r="C55" s="62"/>
      <c r="D55" s="63"/>
      <c r="E55" s="80"/>
      <c r="F55" s="57"/>
      <c r="H55" s="62"/>
      <c r="I55" s="63"/>
      <c r="J55" s="80"/>
      <c r="K55" s="57"/>
      <c r="M55" s="62"/>
      <c r="N55" s="63"/>
      <c r="O55" s="80"/>
      <c r="P55" s="57"/>
      <c r="R55" s="62"/>
      <c r="S55" s="63"/>
      <c r="T55" s="80"/>
      <c r="U55" s="57"/>
      <c r="W55" s="62"/>
      <c r="X55" s="63"/>
    </row>
    <row r="56" spans="1:24" x14ac:dyDescent="0.25">
      <c r="C56" s="62"/>
      <c r="D56" s="63"/>
      <c r="E56" s="80"/>
      <c r="F56" s="57"/>
      <c r="H56" s="62"/>
      <c r="I56" s="63"/>
      <c r="J56" s="80"/>
      <c r="K56" s="57"/>
      <c r="M56" s="62"/>
      <c r="N56" s="63"/>
      <c r="O56" s="80"/>
      <c r="P56" s="57"/>
      <c r="R56" s="62"/>
      <c r="S56" s="63"/>
      <c r="T56" s="80"/>
      <c r="U56" s="57"/>
      <c r="W56" s="62"/>
      <c r="X56" s="63"/>
    </row>
    <row r="57" spans="1:24" ht="13" x14ac:dyDescent="0.3">
      <c r="A57" s="49" t="s">
        <v>3</v>
      </c>
      <c r="B57" s="50"/>
      <c r="C57" s="48">
        <f>SUM(C37:C56)+SUM(D37:D56)/Resumen!$D$1</f>
        <v>0</v>
      </c>
      <c r="D57" s="51">
        <f>SUM(D37:D56)+SUM(C37:C56)*Resumen!$D$1</f>
        <v>0</v>
      </c>
      <c r="E57" s="82"/>
      <c r="F57" s="58"/>
      <c r="G57" s="50"/>
      <c r="H57" s="48">
        <f>SUM(H37:H56)+SUM(I37:I56)/Resumen!$D$1</f>
        <v>0</v>
      </c>
      <c r="I57" s="51">
        <f>SUM(I37:I56)+SUM(H37:H56)*Resumen!$D$1</f>
        <v>0</v>
      </c>
      <c r="J57" s="82"/>
      <c r="K57" s="58"/>
      <c r="L57" s="50"/>
      <c r="M57" s="48">
        <f>SUM(M37:M56)+SUM(N37:N56)/Resumen!$D$1</f>
        <v>0</v>
      </c>
      <c r="N57" s="51">
        <f>SUM(N37:N56)+SUM(M37:M56)*Resumen!$D$1</f>
        <v>0</v>
      </c>
      <c r="O57" s="82"/>
      <c r="P57" s="58"/>
      <c r="Q57" s="50"/>
      <c r="R57" s="48">
        <f>SUM(R37:R56)+SUM(S37:S56)/Resumen!$D$1</f>
        <v>0</v>
      </c>
      <c r="S57" s="51">
        <f>SUM(S37:S56)+SUM(R37:R56)*Resumen!$D$1</f>
        <v>0</v>
      </c>
      <c r="T57" s="82"/>
      <c r="U57" s="58"/>
      <c r="V57" s="50"/>
      <c r="W57" s="48">
        <f>SUM(W37:W56)+SUM(X37:X56)/Resumen!$D$1</f>
        <v>0</v>
      </c>
      <c r="X57" s="51">
        <f>SUM(X37:X56)+SUM(W37:W56)*Resumen!$D$1</f>
        <v>0</v>
      </c>
    </row>
    <row r="58" spans="1:24" ht="13" x14ac:dyDescent="0.3">
      <c r="A58" s="52" t="s">
        <v>56</v>
      </c>
      <c r="B58" s="53"/>
      <c r="C58" s="54">
        <f>Resumen!$B$32-C57</f>
        <v>2980</v>
      </c>
      <c r="D58" s="55">
        <f>Resumen!$C$32-D57</f>
        <v>715.19999999999982</v>
      </c>
      <c r="E58" s="83"/>
      <c r="F58" s="59"/>
      <c r="G58" s="53"/>
      <c r="H58" s="54">
        <f>C58-H57</f>
        <v>2980</v>
      </c>
      <c r="I58" s="55">
        <f>D58-I57</f>
        <v>715.19999999999982</v>
      </c>
      <c r="J58" s="83"/>
      <c r="K58" s="59"/>
      <c r="L58" s="53"/>
      <c r="M58" s="54">
        <f>H58-M57</f>
        <v>2980</v>
      </c>
      <c r="N58" s="55">
        <f>I58-N57</f>
        <v>715.19999999999982</v>
      </c>
      <c r="O58" s="83"/>
      <c r="P58" s="59"/>
      <c r="Q58" s="53"/>
      <c r="R58" s="54">
        <f>M58-R57</f>
        <v>2980</v>
      </c>
      <c r="S58" s="55">
        <f>N58-S57</f>
        <v>715.19999999999982</v>
      </c>
      <c r="T58" s="83"/>
      <c r="U58" s="59"/>
      <c r="V58" s="53"/>
      <c r="W58" s="54">
        <f>R58-W57</f>
        <v>2980</v>
      </c>
      <c r="X58" s="55">
        <f>S58-X57</f>
        <v>715.19999999999982</v>
      </c>
    </row>
    <row r="59" spans="1:24" x14ac:dyDescent="0.25">
      <c r="A59" s="80"/>
      <c r="F59" s="80"/>
      <c r="K59" s="80"/>
      <c r="P59" s="80"/>
      <c r="U59" s="80"/>
    </row>
    <row r="60" spans="1:24" x14ac:dyDescent="0.25">
      <c r="A60" s="80"/>
      <c r="F60" s="80"/>
      <c r="K60" s="80"/>
      <c r="P60" s="80"/>
      <c r="U60" s="80"/>
    </row>
    <row r="61" spans="1:24" x14ac:dyDescent="0.25">
      <c r="A61" s="80"/>
      <c r="F61" s="80"/>
      <c r="K61" s="80"/>
      <c r="P61" s="80"/>
      <c r="U61" s="80"/>
    </row>
    <row r="62" spans="1:24" x14ac:dyDescent="0.25">
      <c r="A62" s="80"/>
      <c r="F62" s="80"/>
      <c r="K62" s="80"/>
      <c r="P62" s="80"/>
      <c r="U62" s="80"/>
    </row>
  </sheetData>
  <mergeCells count="2">
    <mergeCell ref="A11:D11"/>
    <mergeCell ref="A1:D1"/>
  </mergeCells>
  <conditionalFormatting sqref="C7:D7">
    <cfRule type="cellIs" dxfId="0" priority="1" operator="lessThan">
      <formula>0</formula>
    </cfRule>
  </conditionalFormatting>
  <dataValidations disablePrompts="1" count="1">
    <dataValidation type="list" allowBlank="1" showInputMessage="1" showErrorMessage="1" sqref="B33:B86 G33:G86 L33:L86 Q33:Q86 V33:V86" xr:uid="{0A7EC782-AD27-49E5-8CB3-E60712F0672B}">
      <formula1>"Restaurantes,Ocio,Compras,Salud,Viajes,Santi,Bea,Personal,Transporte,Regalos,Hogar,Delivery,Supermercado,Suscripciones,Alquiler piso,Mudanza,Tasas,Suministros piso,Otros"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3C78-2C53-446C-B63C-422111C48791}">
  <dimension ref="A1:A19"/>
  <sheetViews>
    <sheetView workbookViewId="0"/>
  </sheetViews>
  <sheetFormatPr baseColWidth="10" defaultRowHeight="12.5" x14ac:dyDescent="0.25"/>
  <sheetData>
    <row r="1" spans="1:1" x14ac:dyDescent="0.25">
      <c r="A1" t="s">
        <v>48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  <row r="6" spans="1:1" x14ac:dyDescent="0.25">
      <c r="A6" t="s">
        <v>133</v>
      </c>
    </row>
    <row r="7" spans="1:1" x14ac:dyDescent="0.25">
      <c r="A7" t="s">
        <v>134</v>
      </c>
    </row>
    <row r="8" spans="1:1" x14ac:dyDescent="0.25">
      <c r="A8" t="s">
        <v>135</v>
      </c>
    </row>
    <row r="9" spans="1:1" x14ac:dyDescent="0.25">
      <c r="A9" t="s">
        <v>109</v>
      </c>
    </row>
    <row r="10" spans="1:1" x14ac:dyDescent="0.25">
      <c r="A10" t="s">
        <v>136</v>
      </c>
    </row>
    <row r="11" spans="1:1" x14ac:dyDescent="0.25">
      <c r="A11" t="s">
        <v>144</v>
      </c>
    </row>
    <row r="12" spans="1:1" x14ac:dyDescent="0.25">
      <c r="A12" t="s">
        <v>145</v>
      </c>
    </row>
    <row r="13" spans="1:1" x14ac:dyDescent="0.25">
      <c r="A13" t="s">
        <v>97</v>
      </c>
    </row>
    <row r="14" spans="1:1" x14ac:dyDescent="0.25">
      <c r="A14" t="s">
        <v>103</v>
      </c>
    </row>
    <row r="15" spans="1:1" x14ac:dyDescent="0.25">
      <c r="A15" t="s">
        <v>229</v>
      </c>
    </row>
    <row r="16" spans="1:1" x14ac:dyDescent="0.25">
      <c r="A16" t="s">
        <v>230</v>
      </c>
    </row>
    <row r="17" spans="1:1" x14ac:dyDescent="0.25">
      <c r="A17" t="s">
        <v>231</v>
      </c>
    </row>
    <row r="18" spans="1:1" x14ac:dyDescent="0.25">
      <c r="A18" t="s">
        <v>232</v>
      </c>
    </row>
    <row r="19" spans="1:1" x14ac:dyDescent="0.25">
      <c r="A1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Resumen</vt:lpstr>
      <vt:lpstr>Ahorros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_Categorías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de Pablo</cp:lastModifiedBy>
  <dcterms:created xsi:type="dcterms:W3CDTF">2026-02-03T17:34:13Z</dcterms:created>
  <dcterms:modified xsi:type="dcterms:W3CDTF">2026-07-13T18:59:35Z</dcterms:modified>
</cp:coreProperties>
</file>